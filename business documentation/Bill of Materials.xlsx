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https://ksuemailprod.sharepoint.com/sites/RemoteWeatherStation/Shared Documents/General/Budgeting/"/>
    </mc:Choice>
  </mc:AlternateContent>
  <xr:revisionPtr revIDLastSave="265" documentId="11_26124C8FD31C3A8C74B0E1881A08695FA39E3AEA" xr6:coauthVersionLast="47" xr6:coauthVersionMax="47" xr10:uidLastSave="{08E50188-F251-4093-9FD6-6476B7AD5978}"/>
  <bookViews>
    <workbookView xWindow="-120" yWindow="-120" windowWidth="29040" windowHeight="15720" firstSheet="1" activeTab="2" xr2:uid="{00000000-000D-0000-FFFF-FFFF00000000}"/>
  </bookViews>
  <sheets>
    <sheet name="BOM (Order 1)" sheetId="1" r:id="rId1"/>
    <sheet name="BOM (Order 2)" sheetId="5" r:id="rId2"/>
    <sheet name="Final Ordering List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5" l="1"/>
  <c r="M2" i="4"/>
  <c r="L2" i="4"/>
  <c r="H2" i="1"/>
  <c r="N2" i="4" l="1"/>
</calcChain>
</file>

<file path=xl/sharedStrings.xml><?xml version="1.0" encoding="utf-8"?>
<sst xmlns="http://schemas.openxmlformats.org/spreadsheetml/2006/main" count="104" uniqueCount="74">
  <si>
    <t>Part Name</t>
  </si>
  <si>
    <t>Description</t>
  </si>
  <si>
    <t>Price</t>
  </si>
  <si>
    <t>Link</t>
  </si>
  <si>
    <t>Where Does it come from</t>
  </si>
  <si>
    <t>LILYGO T-SIM7600G-H R2 16MB [Q387]</t>
  </si>
  <si>
    <t>Cell modem with ESP32</t>
  </si>
  <si>
    <t>https://lilygo.cc/en-us/products/t-sim7600?variant=42774480224437</t>
  </si>
  <si>
    <t>lilygo</t>
  </si>
  <si>
    <t>Total</t>
  </si>
  <si>
    <t>10 pieces of BF350-3AA</t>
  </si>
  <si>
    <t>Strain Gauges</t>
  </si>
  <si>
    <t>https://www.amazon.com/YS0911-BF350-3AA-Resistive-Temperature-Compensation/dp/B0D1LBNV4N/ref=sr_1_9?crid=157MQCJNXMD2O&amp;dib=eyJ2IjoiMSJ9.bCQ7d-HOmuRwpyKdxDvfzLBg2MMfxudnWdHfUhxhGHM6YjuA2QQ-PUqEaaHHixVGix4Ssj15xq5nlJVXvolJhLvBXSUGxw_uu4Ayg5vjJKcTwSDchywFlzpGI4ambvv-wdEsQb7BD9RQDoD-bUaa-qQGGyZIQEm8gSFrH4tHRQhBYlIj9MVZF3y3D0ZofheAG8jaIdAAv9Qhk-DLV-zVOhCLicqZlK22zyUNjRhLSzQ.HZkY0wA2XDaMIPHsD4Qd3y747jcH4wpZ-nFj8r2Zya8&amp;dib_tag=se&amp;keywords=strain+gauge&amp;qid=1762965481&amp;sprefix=strain+guage%2Caps%2C122&amp;sr=8-9</t>
  </si>
  <si>
    <t>amazon</t>
  </si>
  <si>
    <t>Part 13329</t>
  </si>
  <si>
    <t>Load Cell</t>
  </si>
  <si>
    <t>https://www.digikey.com/en/products/detail/sparkfun-electronics/13329/7393715?gclsrc=aw.ds&amp;gad_source=1&amp;gad_campaignid=20243136172&amp;gbraid=0AAAAADrbLlgJ4B4gvvwz2rsT9dtOkTURp&amp;gclid=CjwKCAiA_dDIBhB6EiwAvzc1cGNTxNG6tp9rbq24VxD5sdSBdZ35JZHi3FbZQqOmndBRwgOn8pnLjBoCPlAQAvD_BwE</t>
  </si>
  <si>
    <t>digikey</t>
  </si>
  <si>
    <t>Cart for sensors</t>
  </si>
  <si>
    <t>Sensors</t>
  </si>
  <si>
    <t>https://www.adafruit.com/wishlists/613676</t>
  </si>
  <si>
    <t>Adafruit</t>
  </si>
  <si>
    <t>Part 997</t>
  </si>
  <si>
    <t>Water Valve</t>
  </si>
  <si>
    <t>https://www.digikey.com/en/products/detail/adafruit-industries-llc/997/6827136?gclsrc=aw.ds&amp;gad_source=1&amp;gad_campaignid=20243136172&amp;gbraid=0AAAAADrbLlhPTM4KgaYnLSq83VPoAVLBX&amp;gclid=CjwKCAiAoNbIBhB5EiwAZFbYGBOIv68Dpozu2xwj3lkATwDDIIBfDQYBgoXHgNOTqYk-WhzlqNluBRoCbm8QAvD_BwE</t>
  </si>
  <si>
    <t>Digikey</t>
  </si>
  <si>
    <t>soil temp and moisture</t>
  </si>
  <si>
    <t xml:space="preserve">sensor </t>
  </si>
  <si>
    <t>https://www.amazon.com/FTVOGUE-Sensor-Digital-Temperature-Moisting/dp/B0F95YQ7G9</t>
  </si>
  <si>
    <t>amazon (come back to later)</t>
  </si>
  <si>
    <t>Shipping</t>
  </si>
  <si>
    <t>Cart digikey</t>
  </si>
  <si>
    <t>https://www.digikey.com/short/j2jdvjnp</t>
  </si>
  <si>
    <t>Cart of amazon</t>
  </si>
  <si>
    <t>https://www.amazon.com/hz/wishlist/dl/invite/t=1:AQICAHild4Vpadjqcz7bdgUf6Qu6-OaRt7P_FJRNNbyMlg-OQwH-lddORt3LoyXi_DXKh0P5AAAAkTCBjgYJKoZIhvcNAQcGoIGAMH4CAQAweQYJKoZIhvcNAQcBMB4GCWCGSAFlAwQBLjARBAys2FPc6BxP1yOwldECARCATMN1CuLaTWMUiqxvgTDkhRypXNe5dmYI9P9bp-LZsp7l86yJGRZgot2nKWiW7y_g9FxLSsPNzyTEbMDIp2-9qNrLqC3JlBKJ3ooShH4?ref_=wl_share</t>
  </si>
  <si>
    <t>Cart of Adafruit</t>
  </si>
  <si>
    <t>Else</t>
  </si>
  <si>
    <t>ORDERED</t>
  </si>
  <si>
    <t>Cart Digikey with all</t>
  </si>
  <si>
    <t>https://www.digikey.com/short/bwwp1tt9</t>
  </si>
  <si>
    <t>Price Total of Digikey Cart</t>
  </si>
  <si>
    <t>6063 Aluminum Tube</t>
  </si>
  <si>
    <t>Tube needed for Wind Gauge</t>
  </si>
  <si>
    <t>https://www.amazon.com/gp/product/B0B4W3PC8K/ref=ox_sc_act_title_3?smid=A2T37KO80TMWQQ&amp;th=1</t>
  </si>
  <si>
    <t>Amazon</t>
  </si>
  <si>
    <t>PETG (White)</t>
  </si>
  <si>
    <t>Needed for box</t>
  </si>
  <si>
    <t>https://www.amazon.com/gp/product/B07PDV9RC8/ref=ox_sc_act_title_1?smid=A3M6OB6YPLO1C&amp;th=1</t>
  </si>
  <si>
    <t>Spring Assortment Box</t>
  </si>
  <si>
    <t>For the rain gauge sensor</t>
  </si>
  <si>
    <t>https://www.amazon.com/gp/product/B000K7M36W/ref=ox_sc_act_title_2?smid=ATVPDKIKX0DER&amp;th=1</t>
  </si>
  <si>
    <t>Stemma QT connector Kit</t>
  </si>
  <si>
    <t>Connectors for breakout boards</t>
  </si>
  <si>
    <t>https://www.amazon.com/gp/product/B0FN4ZDV36/ref=sw_img_1?smid=A3FDRWQ9749CUZ&amp;th=1</t>
  </si>
  <si>
    <t>Amazon Shipping</t>
  </si>
  <si>
    <t>Shipping Cost From Amazon</t>
  </si>
  <si>
    <t>Order Number</t>
  </si>
  <si>
    <t>Ordered</t>
  </si>
  <si>
    <t>Shipping Order</t>
  </si>
  <si>
    <t>Shipping Cost</t>
  </si>
  <si>
    <t>Shipping Cost Total</t>
  </si>
  <si>
    <t>Parts Cost Total</t>
  </si>
  <si>
    <t>Project Cost Total</t>
  </si>
  <si>
    <t>Yes</t>
  </si>
  <si>
    <t>#1 Amazon</t>
  </si>
  <si>
    <t>#1 Digkey</t>
  </si>
  <si>
    <t>Sesnors Cart with Valve</t>
  </si>
  <si>
    <t>Digikey Sensor Part List</t>
  </si>
  <si>
    <t>#1 Lilygo</t>
  </si>
  <si>
    <t>Amazon Cart for order 2</t>
  </si>
  <si>
    <t>Cart for building sensors</t>
  </si>
  <si>
    <t>BOM Order 2 slide</t>
  </si>
  <si>
    <t>#1 Digikey Tariff</t>
  </si>
  <si>
    <t>#2 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</si>
</sst>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1" fillId="0" borderId="0" xfId="1"/>
    <xf numFmtId="164" fontId="1" fillId="0" borderId="0" xfId="1" applyNumberFormat="1"/>
    <xf numFmtId="0" fontId="0" fillId="2" borderId="0" xfId="0" applyFill="1"/>
    <xf numFmtId="0" fontId="0" fillId="3" borderId="0" xfId="0" applyFill="1"/>
    <xf numFmtId="164" fontId="0" fillId="3" borderId="0" xfId="0" applyNumberFormat="1" applyFill="1"/>
    <xf numFmtId="0" fontId="1" fillId="3" borderId="0" xfId="1" applyFill="1"/>
    <xf numFmtId="164" fontId="1" fillId="3" borderId="0" xfId="1" applyNumberFormat="1" applyFill="1"/>
    <xf numFmtId="0" fontId="0" fillId="4" borderId="1" xfId="0" applyFill="1" applyBorder="1"/>
    <xf numFmtId="44" fontId="2" fillId="0" borderId="0" xfId="0" applyNumberFormat="1" applyFont="1"/>
    <xf numFmtId="44" fontId="0" fillId="0" borderId="0" xfId="0" applyNumberFormat="1"/>
    <xf numFmtId="0" fontId="0" fillId="5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short/j2jdvjnp" TargetMode="External"/><Relationship Id="rId3" Type="http://schemas.openxmlformats.org/officeDocument/2006/relationships/hyperlink" Target="https://www.digikey.com/en/products/detail/sparkfun-electronics/13329/7393715?gclsrc=aw.ds&amp;gad_source=1&amp;gad_campaignid=20243136172&amp;gbraid=0AAAAADrbLlgJ4B4gvvwz2rsT9dtOkTURp&amp;gclid=CjwKCAiA_dDIBhB6EiwAvzc1cGNTxNG6tp9rbq24VxD5sdSBdZ35JZHi3FbZQqOmndBRwgOn8pnLjBoCPlAQAvD_BwE" TargetMode="External"/><Relationship Id="rId7" Type="http://schemas.openxmlformats.org/officeDocument/2006/relationships/hyperlink" Target="https://www.amazon.com/hz/wishlist/dl/invite/t=1:AQICAHild4Vpadjqcz7bdgUf6Qu6-OaRt7P_FJRNNbyMlg-OQwH-lddORt3LoyXi_DXKh0P5AAAAkTCBjgYJKoZIhvcNAQcGoIGAMH4CAQAweQYJKoZIhvcNAQcBMB4GCWCGSAFlAwQBLjARBAys2FPc6BxP1yOwldECARCATMN1CuLaTWMUiqxvgTDkhRypXNe5dmYI9P9bp-LZsp7l86yJGRZgot2nKWiW7y_g9FxLSsPNzyTEbMDIp2-9qNrLqC3JlBKJ3ooShH4?ref_=wl_share" TargetMode="External"/><Relationship Id="rId2" Type="http://schemas.openxmlformats.org/officeDocument/2006/relationships/hyperlink" Target="https://www.amazon.com/YS0911-BF350-3AA-Resistive-Temperature-Compensation/dp/B0D1LBNV4N/ref=sr_1_9?crid=157MQCJNXMD2O&amp;dib=eyJ2IjoiMSJ9.bCQ7d-HOmuRwpyKdxDvfzLBg2MMfxudnWdHfUhxhGHM6YjuA2QQ-PUqEaaHHixVGix4Ssj15xq5nlJVXvolJhLvBXSUGxw_uu4Ayg5vjJKcTwSDchywFlzpGI4ambvv-wdEsQb7BD9RQDoD-bUaa-qQGGyZIQEm8gSFrH4tHRQhBYlIj9MVZF3y3D0ZofheAG8jaIdAAv9Qhk-DLV-zVOhCLicqZlK22zyUNjRhLSzQ.HZkY0wA2XDaMIPHsD4Qd3y747jcH4wpZ-nFj8r2Zya8&amp;dib_tag=se&amp;keywords=strain+gauge&amp;qid=1762965481&amp;sprefix=strain+guage%2Caps%2C122&amp;sr=8-9" TargetMode="External"/><Relationship Id="rId1" Type="http://schemas.openxmlformats.org/officeDocument/2006/relationships/hyperlink" Target="https://lilygo.cc/en-us/products/t-sim7600?variant=42774480224437" TargetMode="External"/><Relationship Id="rId6" Type="http://schemas.openxmlformats.org/officeDocument/2006/relationships/hyperlink" Target="https://www.amazon.com/FTVOGUE-Sensor-Digital-Temperature-Moisting/dp/B0F95YQ7G9" TargetMode="External"/><Relationship Id="rId11" Type="http://schemas.openxmlformats.org/officeDocument/2006/relationships/hyperlink" Target="https://www.digikey.com/short/bwwp1tt9" TargetMode="External"/><Relationship Id="rId5" Type="http://schemas.openxmlformats.org/officeDocument/2006/relationships/hyperlink" Target="https://www.digikey.com/en/products/detail/adafruit-industries-llc/997/6827136?gclsrc=aw.ds&amp;gad_source=1&amp;gad_campaignid=20243136172&amp;gbraid=0AAAAADrbLlhPTM4KgaYnLSq83VPoAVLBX&amp;gclid=CjwKCAiAoNbIBhB5EiwAZFbYGBOIv68Dpozu2xwj3lkATwDDIIBfDQYBgoXHgNOTqYk-WhzlqNluBRoCbm8QAvD_BwE" TargetMode="External"/><Relationship Id="rId10" Type="http://schemas.openxmlformats.org/officeDocument/2006/relationships/hyperlink" Target="https://lilygo.cc/en-us/products/t-sim7600?variant=42774480224437" TargetMode="External"/><Relationship Id="rId4" Type="http://schemas.openxmlformats.org/officeDocument/2006/relationships/hyperlink" Target="https://www.adafruit.com/wishlists/613676" TargetMode="External"/><Relationship Id="rId9" Type="http://schemas.openxmlformats.org/officeDocument/2006/relationships/hyperlink" Target="https://www.adafruit.com/wishlists/613676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gp/product/B000K7M36W/ref=ox_sc_act_title_2?smid=ATVPDKIKX0DER&amp;th=1" TargetMode="External"/><Relationship Id="rId2" Type="http://schemas.openxmlformats.org/officeDocument/2006/relationships/hyperlink" Target="https://www.amazon.com/gp/product/B07PDV9RC8/ref=ox_sc_act_title_1?smid=A3M6OB6YPLO1C&amp;th=1" TargetMode="External"/><Relationship Id="rId1" Type="http://schemas.openxmlformats.org/officeDocument/2006/relationships/hyperlink" Target="https://www.amazon.com/gp/product/B0B4W3PC8K/ref=ox_sc_act_title_3?smid=A2T37KO80TMWQQ&amp;th=1" TargetMode="External"/><Relationship Id="rId4" Type="http://schemas.openxmlformats.org/officeDocument/2006/relationships/hyperlink" Target="https://www.amazon.com/gp/product/B0FN4ZDV36/ref=sw_img_1?smid=A3FDRWQ9749CUZ&amp;th=1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short/bwwp1tt9" TargetMode="External"/><Relationship Id="rId2" Type="http://schemas.openxmlformats.org/officeDocument/2006/relationships/hyperlink" Target="https://www.amazon.com/YS0911-BF350-3AA-Resistive-Temperature-Compensation/dp/B0D1LBNV4N/ref=sr_1_9?crid=157MQCJNXMD2O&amp;dib=eyJ2IjoiMSJ9.bCQ7d-HOmuRwpyKdxDvfzLBg2MMfxudnWdHfUhxhGHM6YjuA2QQ-PUqEaaHHixVGix4Ssj15xq5nlJVXvolJhLvBXSUGxw_uu4Ayg5vjJKcTwSDchywFlzpGI4ambvv-wdEsQb7BD9RQDoD-bUaa-qQGGyZIQEm8gSFrH4tHRQhBYlIj9MVZF3y3D0ZofheAG8jaIdAAv9Qhk-DLV-zVOhCLicqZlK22zyUNjRhLSzQ.HZkY0wA2XDaMIPHsD4Qd3y747jcH4wpZ-nFj8r2Zya8&amp;dib_tag=se&amp;keywords=strain+gauge&amp;qid=1762965481&amp;sprefix=strain+guage%2Caps%2C122&amp;sr=8-9" TargetMode="External"/><Relationship Id="rId1" Type="http://schemas.openxmlformats.org/officeDocument/2006/relationships/hyperlink" Target="https://lilygo.cc/en-us/products/t-sim7600?variant=427744802244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>
      <selection sqref="A1:E1"/>
    </sheetView>
  </sheetViews>
  <sheetFormatPr defaultRowHeight="15"/>
  <cols>
    <col min="1" max="1" width="35.5703125" bestFit="1" customWidth="1"/>
    <col min="2" max="2" width="35.5703125" customWidth="1"/>
    <col min="3" max="3" width="14.140625" style="3" customWidth="1"/>
    <col min="4" max="4" width="62.5703125" bestFit="1" customWidth="1"/>
    <col min="5" max="5" width="31.5703125" customWidth="1"/>
    <col min="7" max="7" width="19.42578125" customWidth="1"/>
  </cols>
  <sheetData>
    <row r="1" spans="1:8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8">
      <c r="A2" t="s">
        <v>5</v>
      </c>
      <c r="B2" t="s">
        <v>6</v>
      </c>
      <c r="C2" s="3">
        <v>58.5</v>
      </c>
      <c r="D2" s="4" t="s">
        <v>7</v>
      </c>
      <c r="E2" t="s">
        <v>8</v>
      </c>
      <c r="G2" t="s">
        <v>9</v>
      </c>
      <c r="H2" s="3">
        <f>SUM(D14,D12,C2,D10)</f>
        <v>162</v>
      </c>
    </row>
    <row r="3" spans="1:8">
      <c r="A3" t="s">
        <v>10</v>
      </c>
      <c r="B3" t="s">
        <v>11</v>
      </c>
      <c r="C3" s="3">
        <v>2.99</v>
      </c>
      <c r="D3" s="4" t="s">
        <v>12</v>
      </c>
      <c r="E3" t="s">
        <v>13</v>
      </c>
      <c r="H3" s="3"/>
    </row>
    <row r="4" spans="1:8">
      <c r="A4" t="s">
        <v>14</v>
      </c>
      <c r="B4" t="s">
        <v>15</v>
      </c>
      <c r="C4" s="3">
        <v>14.06</v>
      </c>
      <c r="D4" s="4" t="s">
        <v>16</v>
      </c>
      <c r="E4" t="s">
        <v>17</v>
      </c>
    </row>
    <row r="5" spans="1:8">
      <c r="A5" t="s">
        <v>18</v>
      </c>
      <c r="B5" t="s">
        <v>19</v>
      </c>
      <c r="C5" s="3">
        <v>63.8</v>
      </c>
      <c r="D5" s="4" t="s">
        <v>20</v>
      </c>
      <c r="E5" t="s">
        <v>21</v>
      </c>
    </row>
    <row r="6" spans="1:8">
      <c r="A6" t="s">
        <v>22</v>
      </c>
      <c r="B6" t="s">
        <v>23</v>
      </c>
      <c r="C6" s="3">
        <v>6.95</v>
      </c>
      <c r="D6" s="4" t="s">
        <v>24</v>
      </c>
      <c r="E6" t="s">
        <v>25</v>
      </c>
    </row>
    <row r="7" spans="1:8">
      <c r="A7" s="7" t="s">
        <v>26</v>
      </c>
      <c r="B7" s="7" t="s">
        <v>27</v>
      </c>
      <c r="C7" s="8">
        <v>23.41</v>
      </c>
      <c r="D7" s="9" t="s">
        <v>28</v>
      </c>
      <c r="E7" t="s">
        <v>29</v>
      </c>
    </row>
    <row r="8" spans="1:8">
      <c r="D8" t="s">
        <v>30</v>
      </c>
    </row>
    <row r="9" spans="1:8">
      <c r="B9" s="7" t="s">
        <v>31</v>
      </c>
      <c r="C9" s="10" t="s">
        <v>32</v>
      </c>
      <c r="D9" s="7">
        <v>6.99</v>
      </c>
    </row>
    <row r="10" spans="1:8">
      <c r="B10" t="s">
        <v>33</v>
      </c>
      <c r="C10" s="5" t="s">
        <v>34</v>
      </c>
      <c r="D10">
        <v>2</v>
      </c>
    </row>
    <row r="11" spans="1:8">
      <c r="B11" s="7" t="s">
        <v>35</v>
      </c>
      <c r="C11" s="9" t="s">
        <v>20</v>
      </c>
      <c r="D11" s="7">
        <v>13.04</v>
      </c>
    </row>
    <row r="12" spans="1:8">
      <c r="B12" t="s">
        <v>36</v>
      </c>
      <c r="C12" s="4" t="s">
        <v>7</v>
      </c>
      <c r="D12">
        <v>9</v>
      </c>
    </row>
    <row r="13" spans="1:8">
      <c r="A13" s="6" t="s">
        <v>37</v>
      </c>
      <c r="B13" s="11" t="s">
        <v>38</v>
      </c>
      <c r="C13" s="5" t="s">
        <v>39</v>
      </c>
      <c r="D13" s="11">
        <v>6.99</v>
      </c>
    </row>
    <row r="14" spans="1:8">
      <c r="B14" t="s">
        <v>40</v>
      </c>
      <c r="D14">
        <v>92.5</v>
      </c>
    </row>
  </sheetData>
  <hyperlinks>
    <hyperlink ref="D2" r:id="rId1" xr:uid="{D39750C7-0294-481F-BF68-6F8DFC3B6A47}"/>
    <hyperlink ref="D3" r:id="rId2" display="https://www.amazon.com/YS0911-BF350-3AA-Resistive-Temperature-Compensation/dp/B0D1LBNV4N/ref=sr_1_9?crid=157MQCJNXMD2O&amp;dib=eyJ2IjoiMSJ9.bCQ7d-HOmuRwpyKdxDvfzLBg2MMfxudnWdHfUhxhGHM6YjuA2QQ-PUqEaaHHixVGix4Ssj15xq5nlJVXvolJhLvBXSUGxw_uu4Ayg5vjJKcTwSDchywFlzpGI4ambvv-wdEsQb7BD9RQDoD-bUaa-qQGGyZIQEm8gSFrH4tHRQhBYlIj9MVZF3y3D0ZofheAG8jaIdAAv9Qhk-DLV-zVOhCLicqZlK22zyUNjRhLSzQ.HZkY0wA2XDaMIPHsD4Qd3y747jcH4wpZ-nFj8r2Zya8&amp;dib_tag=se&amp;keywords=strain+gauge&amp;qid=1762965481&amp;sprefix=strain+guage%2Caps%2C122&amp;sr=8-9" xr:uid="{5D840B6D-924D-4607-BDA2-F00076FA368E}"/>
    <hyperlink ref="D4" r:id="rId3" display="https://www.digikey.com/en/products/detail/sparkfun-electronics/13329/7393715?gclsrc=aw.ds&amp;gad_source=1&amp;gad_campaignid=20243136172&amp;gbraid=0AAAAADrbLlgJ4B4gvvwz2rsT9dtOkTURp&amp;gclid=CjwKCAiA_dDIBhB6EiwAvzc1cGNTxNG6tp9rbq24VxD5sdSBdZ35JZHi3FbZQqOmndBRwgOn8pnLjBoCPlAQAvD_BwE" xr:uid="{E431B420-0A34-4CC7-B476-A45ABD780E8D}"/>
    <hyperlink ref="D5" r:id="rId4" xr:uid="{BD3C4BE3-D513-4EB8-9B24-F44B5D1D6174}"/>
    <hyperlink ref="D6" r:id="rId5" display="https://www.digikey.com/en/products/detail/adafruit-industries-llc/997/6827136?gclsrc=aw.ds&amp;gad_source=1&amp;gad_campaignid=20243136172&amp;gbraid=0AAAAADrbLlhPTM4KgaYnLSq83VPoAVLBX&amp;gclid=CjwKCAiAoNbIBhB5EiwAZFbYGBOIv68Dpozu2xwj3lkATwDDIIBfDQYBgoXHgNOTqYk-WhzlqNluBRoCbm8QAvD_BwE" xr:uid="{BDA4B309-81C5-447F-92CC-C8286D254CA1}"/>
    <hyperlink ref="D7" r:id="rId6" xr:uid="{ED016F4E-0A2E-4413-85FB-985FBC550C75}"/>
    <hyperlink ref="C10" r:id="rId7" display="https://www.amazon.com/hz/wishlist/dl/invite/t=1:AQICAHild4Vpadjqcz7bdgUf6Qu6-OaRt7P_FJRNNbyMlg-OQwH-lddORt3LoyXi_DXKh0P5AAAAkTCBjgYJKoZIhvcNAQcGoIGAMH4CAQAweQYJKoZIhvcNAQcBMB4GCWCGSAFlAwQBLjARBAys2FPc6BxP1yOwldECARCATMN1CuLaTWMUiqxvgTDkhRypXNe5dmYI9P9bp-LZsp7l86yJGRZgot2nKWiW7y_g9FxLSsPNzyTEbMDIp2-9qNrLqC3JlBKJ3ooShH4?ref_=wl_share" xr:uid="{5D40AD39-7059-4E9E-8430-C82E4A683F74}"/>
    <hyperlink ref="C9" r:id="rId8" xr:uid="{FC765D22-97FE-4050-B939-7AF4F0B5038B}"/>
    <hyperlink ref="C11" r:id="rId9" xr:uid="{138CC603-5582-4F07-B350-9A924C620448}"/>
    <hyperlink ref="C12" r:id="rId10" xr:uid="{5E15B46A-6780-4547-9002-1393FE5A6275}"/>
    <hyperlink ref="C13" r:id="rId11" xr:uid="{330A5F6D-6903-4597-990E-E5D219BF2CF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FBBF7-F389-4955-952B-5116232CCA31}">
  <dimension ref="A1:I10"/>
  <sheetViews>
    <sheetView workbookViewId="0">
      <selection activeCell="C14" sqref="C14"/>
    </sheetView>
  </sheetViews>
  <sheetFormatPr defaultRowHeight="15"/>
  <cols>
    <col min="1" max="1" width="25.28515625" customWidth="1"/>
    <col min="2" max="2" width="30.28515625" customWidth="1"/>
    <col min="3" max="3" width="20.28515625" customWidth="1"/>
    <col min="4" max="4" width="19" customWidth="1"/>
    <col min="5" max="5" width="28.140625" customWidth="1"/>
  </cols>
  <sheetData>
    <row r="1" spans="1: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H1" t="s">
        <v>9</v>
      </c>
      <c r="I1" s="3">
        <f>SUM(C:C)</f>
        <v>60.110000000000007</v>
      </c>
    </row>
    <row r="2" spans="1:9">
      <c r="A2" t="s">
        <v>41</v>
      </c>
      <c r="B2" t="s">
        <v>42</v>
      </c>
      <c r="C2" s="13">
        <v>8.19</v>
      </c>
      <c r="D2" s="4" t="s">
        <v>43</v>
      </c>
      <c r="E2" t="s">
        <v>44</v>
      </c>
    </row>
    <row r="3" spans="1:9">
      <c r="A3" t="s">
        <v>45</v>
      </c>
      <c r="B3" t="s">
        <v>46</v>
      </c>
      <c r="C3" s="13">
        <v>12.95</v>
      </c>
      <c r="D3" s="4" t="s">
        <v>47</v>
      </c>
      <c r="E3" t="s">
        <v>44</v>
      </c>
    </row>
    <row r="4" spans="1:9">
      <c r="A4" t="s">
        <v>48</v>
      </c>
      <c r="B4" t="s">
        <v>49</v>
      </c>
      <c r="C4" s="13">
        <v>14.99</v>
      </c>
      <c r="D4" s="4" t="s">
        <v>50</v>
      </c>
      <c r="E4" t="s">
        <v>44</v>
      </c>
    </row>
    <row r="5" spans="1:9">
      <c r="A5" t="s">
        <v>51</v>
      </c>
      <c r="B5" t="s">
        <v>52</v>
      </c>
      <c r="C5" s="13">
        <v>16.989999999999998</v>
      </c>
      <c r="D5" s="4" t="s">
        <v>53</v>
      </c>
      <c r="E5" t="s">
        <v>44</v>
      </c>
    </row>
    <row r="10" spans="1:9">
      <c r="A10" t="s">
        <v>54</v>
      </c>
      <c r="B10" t="s">
        <v>55</v>
      </c>
      <c r="C10" s="13">
        <v>6.99</v>
      </c>
    </row>
  </sheetData>
  <hyperlinks>
    <hyperlink ref="D2" r:id="rId1" xr:uid="{4346522B-F76D-4ACE-AAF0-C2FB4E545536}"/>
    <hyperlink ref="D3" r:id="rId2" xr:uid="{E591ADA9-8B2C-4FD8-A75E-11476FDC70DC}"/>
    <hyperlink ref="D4" r:id="rId3" xr:uid="{6FCD3977-28B1-4995-A4CF-D045D6825C14}"/>
    <hyperlink ref="D5" r:id="rId4" xr:uid="{FAA1198A-213C-4D35-9CBB-BB1EFA8EF2D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0F635-0A6F-4DDF-8AB7-112739C74231}">
  <dimension ref="A1:O10"/>
  <sheetViews>
    <sheetView tabSelected="1" workbookViewId="0">
      <selection activeCell="J7" sqref="J7"/>
    </sheetView>
  </sheetViews>
  <sheetFormatPr defaultRowHeight="15"/>
  <cols>
    <col min="1" max="1" width="25.140625" customWidth="1"/>
    <col min="2" max="2" width="35.5703125" customWidth="1"/>
    <col min="3" max="3" width="29.42578125" customWidth="1"/>
    <col min="4" max="4" width="10.28515625" customWidth="1"/>
    <col min="5" max="5" width="20.5703125" customWidth="1"/>
    <col min="6" max="6" width="22.7109375" customWidth="1"/>
    <col min="8" max="8" width="9.140625" style="14"/>
    <col min="9" max="9" width="19.140625" customWidth="1"/>
    <col min="10" max="10" width="15.28515625" style="13" customWidth="1"/>
    <col min="11" max="11" width="9.140625" style="14"/>
    <col min="12" max="12" width="17.140625" customWidth="1"/>
    <col min="13" max="13" width="15.42578125" customWidth="1"/>
    <col min="14" max="14" width="16.85546875" customWidth="1"/>
    <col min="15" max="15" width="9.140625" style="14"/>
  </cols>
  <sheetData>
    <row r="1" spans="1:14">
      <c r="A1" s="1" t="s">
        <v>56</v>
      </c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57</v>
      </c>
      <c r="I1" s="1" t="s">
        <v>58</v>
      </c>
      <c r="J1" s="12" t="s">
        <v>59</v>
      </c>
      <c r="L1" s="1" t="s">
        <v>60</v>
      </c>
      <c r="M1" s="1" t="s">
        <v>61</v>
      </c>
      <c r="N1" s="1" t="s">
        <v>62</v>
      </c>
    </row>
    <row r="2" spans="1:14">
      <c r="A2">
        <v>1</v>
      </c>
      <c r="B2" t="s">
        <v>5</v>
      </c>
      <c r="C2" t="s">
        <v>6</v>
      </c>
      <c r="D2" s="3">
        <v>58.5</v>
      </c>
      <c r="E2" s="4" t="s">
        <v>7</v>
      </c>
      <c r="F2" t="s">
        <v>8</v>
      </c>
      <c r="G2" t="s">
        <v>63</v>
      </c>
      <c r="I2" t="s">
        <v>64</v>
      </c>
      <c r="J2" s="13">
        <v>2</v>
      </c>
      <c r="L2" s="13">
        <f>SUM(J:J)</f>
        <v>26.130000000000003</v>
      </c>
      <c r="M2" s="13">
        <f>SUM(D:D)</f>
        <v>206.41000000000003</v>
      </c>
      <c r="N2" s="13">
        <f>L2+M2</f>
        <v>232.54000000000002</v>
      </c>
    </row>
    <row r="3" spans="1:14">
      <c r="A3">
        <v>1</v>
      </c>
      <c r="B3" t="s">
        <v>10</v>
      </c>
      <c r="C3" t="s">
        <v>11</v>
      </c>
      <c r="D3" s="3">
        <v>2.99</v>
      </c>
      <c r="E3" s="4" t="s">
        <v>12</v>
      </c>
      <c r="F3" t="s">
        <v>13</v>
      </c>
      <c r="G3" t="s">
        <v>63</v>
      </c>
      <c r="I3" t="s">
        <v>65</v>
      </c>
      <c r="J3" s="13">
        <v>6.99</v>
      </c>
    </row>
    <row r="4" spans="1:14">
      <c r="A4">
        <v>1</v>
      </c>
      <c r="B4" t="s">
        <v>66</v>
      </c>
      <c r="C4" t="s">
        <v>67</v>
      </c>
      <c r="D4" s="13">
        <v>84.81</v>
      </c>
      <c r="E4" s="5" t="s">
        <v>39</v>
      </c>
      <c r="F4" t="s">
        <v>25</v>
      </c>
      <c r="G4" t="s">
        <v>63</v>
      </c>
      <c r="I4" t="s">
        <v>68</v>
      </c>
      <c r="J4" s="13">
        <v>9</v>
      </c>
    </row>
    <row r="5" spans="1:14">
      <c r="A5">
        <v>2</v>
      </c>
      <c r="B5" t="s">
        <v>69</v>
      </c>
      <c r="C5" t="s">
        <v>70</v>
      </c>
      <c r="D5" s="13">
        <v>60.11</v>
      </c>
      <c r="E5" t="s">
        <v>71</v>
      </c>
      <c r="F5" t="s">
        <v>13</v>
      </c>
      <c r="G5" t="s">
        <v>63</v>
      </c>
      <c r="I5" t="s">
        <v>72</v>
      </c>
      <c r="J5" s="13">
        <v>1.1499999999999999</v>
      </c>
    </row>
    <row r="6" spans="1:14">
      <c r="I6" t="s">
        <v>73</v>
      </c>
      <c r="J6" s="13">
        <v>6.99</v>
      </c>
    </row>
    <row r="8" spans="1:14">
      <c r="F8" s="3"/>
    </row>
    <row r="10" spans="1:14">
      <c r="F10" s="3"/>
    </row>
  </sheetData>
  <hyperlinks>
    <hyperlink ref="E2" r:id="rId1" xr:uid="{EE407231-ADFF-4E42-94DB-2A262DAC28D2}"/>
    <hyperlink ref="E3" r:id="rId2" display="https://www.amazon.com/YS0911-BF350-3AA-Resistive-Temperature-Compensation/dp/B0D1LBNV4N/ref=sr_1_9?crid=157MQCJNXMD2O&amp;dib=eyJ2IjoiMSJ9.bCQ7d-HOmuRwpyKdxDvfzLBg2MMfxudnWdHfUhxhGHM6YjuA2QQ-PUqEaaHHixVGix4Ssj15xq5nlJVXvolJhLvBXSUGxw_uu4Ayg5vjJKcTwSDchywFlzpGI4ambvv-wdEsQb7BD9RQDoD-bUaa-qQGGyZIQEm8gSFrH4tHRQhBYlIj9MVZF3y3D0ZofheAG8jaIdAAv9Qhk-DLV-zVOhCLicqZlK22zyUNjRhLSzQ.HZkY0wA2XDaMIPHsD4Qd3y747jcH4wpZ-nFj8r2Zya8&amp;dib_tag=se&amp;keywords=strain+gauge&amp;qid=1762965481&amp;sprefix=strain+guage%2Caps%2C122&amp;sr=8-9" xr:uid="{4F20379A-8999-4E7D-AB68-52F4E91729FC}"/>
    <hyperlink ref="E4" r:id="rId3" xr:uid="{D5CA2AFF-D4DE-484D-BBD7-B1DE6031869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45C7FEA5FD64408A2E2CD1EC0570DE" ma:contentTypeVersion="10" ma:contentTypeDescription="Create a new document." ma:contentTypeScope="" ma:versionID="e3252bb707fd221cd62a6ec9eb5bd0d5">
  <xsd:schema xmlns:xsd="http://www.w3.org/2001/XMLSchema" xmlns:xs="http://www.w3.org/2001/XMLSchema" xmlns:p="http://schemas.microsoft.com/office/2006/metadata/properties" xmlns:ns2="8b534c47-982a-449c-833f-f8f545c6fdde" xmlns:ns3="f7c2c2c4-0bd8-4242-a51e-b8207d11645d" targetNamespace="http://schemas.microsoft.com/office/2006/metadata/properties" ma:root="true" ma:fieldsID="44494b95e9001932104469cd7696538a" ns2:_="" ns3:_="">
    <xsd:import namespace="8b534c47-982a-449c-833f-f8f545c6fdde"/>
    <xsd:import namespace="f7c2c2c4-0bd8-4242-a51e-b8207d1164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34c47-982a-449c-833f-f8f545c6fd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ed7cba-b263-44e1-aaea-116db9091a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c2c2c4-0bd8-4242-a51e-b8207d11645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2b2b8c-1fe5-40d0-b63b-8d5a664a8458}" ma:internalName="TaxCatchAll" ma:showField="CatchAllData" ma:web="f7c2c2c4-0bd8-4242-a51e-b8207d1164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534c47-982a-449c-833f-f8f545c6fdde">
      <Terms xmlns="http://schemas.microsoft.com/office/infopath/2007/PartnerControls"/>
    </lcf76f155ced4ddcb4097134ff3c332f>
    <TaxCatchAll xmlns="f7c2c2c4-0bd8-4242-a51e-b8207d11645d" xsi:nil="true"/>
  </documentManagement>
</p:properties>
</file>

<file path=customXml/itemProps1.xml><?xml version="1.0" encoding="utf-8"?>
<ds:datastoreItem xmlns:ds="http://schemas.openxmlformats.org/officeDocument/2006/customXml" ds:itemID="{CE18B65D-CB7E-49CE-9ECE-07719699A86E}"/>
</file>

<file path=customXml/itemProps2.xml><?xml version="1.0" encoding="utf-8"?>
<ds:datastoreItem xmlns:ds="http://schemas.openxmlformats.org/officeDocument/2006/customXml" ds:itemID="{3CEBAE79-A6CF-40F2-A510-7167F9F7D5D9}"/>
</file>

<file path=customXml/itemProps3.xml><?xml version="1.0" encoding="utf-8"?>
<ds:datastoreItem xmlns:ds="http://schemas.openxmlformats.org/officeDocument/2006/customXml" ds:itemID="{568703AE-CF87-4F73-9D2D-1A677B6470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Gantzen Miller</cp:lastModifiedBy>
  <cp:revision/>
  <dcterms:created xsi:type="dcterms:W3CDTF">2025-11-11T14:40:58Z</dcterms:created>
  <dcterms:modified xsi:type="dcterms:W3CDTF">2026-01-20T20:01:50Z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0x0101007245C7FEA5FD64408A2E2CD1EC0570DE</vt:lpwstr>
  </property>
  <property fmtid="{D5CDD505-2E9C-101B-9397-08002B2CF9AE}" pid="3" name="MediaServiceImageTags">
    <vt:lpwstr/>
  </property>
</Properties>
</file>