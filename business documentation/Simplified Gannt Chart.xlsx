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ksuemailprod.sharepoint.com/sites/RemoteWeatherStation/Shared Documents/General/Schedule Stuff/"/>
    </mc:Choice>
  </mc:AlternateContent>
  <xr:revisionPtr revIDLastSave="296" documentId="8_{7BF31489-DC5E-441F-AFAE-97F38AEC11D1}" xr6:coauthVersionLast="47" xr6:coauthVersionMax="47" xr10:uidLastSave="{7AFD5C79-7052-4B00-8442-144E49A99D3F}"/>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schedule'!$R$2</definedName>
    <definedName name="_xlnm.Print_Titles" localSheetId="0">'Project schedule'!$4:$6</definedName>
    <definedName name="Project_Start">'Project schedule'!$R$1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11" l="1"/>
  <c r="D35" i="11"/>
  <c r="I7" i="11"/>
  <c r="E9" i="11" l="1"/>
  <c r="F9" i="11" l="1"/>
  <c r="E10" i="11"/>
  <c r="E12" i="11"/>
  <c r="E11" i="11"/>
  <c r="J5" i="11"/>
  <c r="I37" i="11"/>
  <c r="I36" i="11"/>
  <c r="I29" i="11"/>
  <c r="I22" i="11"/>
  <c r="I15" i="11"/>
  <c r="I8" i="11"/>
  <c r="F11" i="11" l="1"/>
  <c r="E17" i="11" s="1"/>
  <c r="E21" i="11" s="1"/>
  <c r="F12" i="11"/>
  <c r="E18" i="11" s="1"/>
  <c r="F10" i="11"/>
  <c r="E13" i="11"/>
  <c r="F18" i="11"/>
  <c r="E26" i="11" s="1"/>
  <c r="F17" i="11"/>
  <c r="F21" i="11"/>
  <c r="E24" i="11"/>
  <c r="E16" i="11"/>
  <c r="F16" i="11" s="1"/>
  <c r="I9" i="11"/>
  <c r="J6" i="11"/>
  <c r="F13" i="11" l="1"/>
  <c r="E14" i="11"/>
  <c r="F14" i="11" s="1"/>
  <c r="F26" i="11"/>
  <c r="E30" i="11" s="1"/>
  <c r="F30" i="11" s="1"/>
  <c r="E25" i="11"/>
  <c r="E19" i="11"/>
  <c r="F19" i="11" s="1"/>
  <c r="I10" i="11"/>
  <c r="I16" i="11"/>
  <c r="K5" i="11"/>
  <c r="L5" i="11" s="1"/>
  <c r="M5" i="11" s="1"/>
  <c r="M6" i="11" s="1"/>
  <c r="J4" i="11"/>
  <c r="I14" i="11" l="1"/>
  <c r="E20" i="11"/>
  <c r="N5" i="11"/>
  <c r="O5" i="11" s="1"/>
  <c r="P5" i="11" s="1"/>
  <c r="Q5" i="11" s="1"/>
  <c r="Q4" i="11" s="1"/>
  <c r="I30" i="11"/>
  <c r="I18" i="11"/>
  <c r="I11" i="11"/>
  <c r="I12" i="11"/>
  <c r="K6" i="11"/>
  <c r="F20" i="11" l="1"/>
  <c r="E23" i="11" s="1"/>
  <c r="F23" i="11" s="1"/>
  <c r="F24" i="11" s="1"/>
  <c r="F25" i="11" s="1"/>
  <c r="E27" i="11"/>
  <c r="F27" i="11" s="1"/>
  <c r="I23" i="11"/>
  <c r="I24" i="11"/>
  <c r="R5" i="11"/>
  <c r="S5" i="11" s="1"/>
  <c r="T5" i="11" s="1"/>
  <c r="U5" i="11" s="1"/>
  <c r="V5" i="11" s="1"/>
  <c r="W5" i="11" s="1"/>
  <c r="X5" i="11" s="1"/>
  <c r="X4" i="11" s="1"/>
  <c r="I26" i="11"/>
  <c r="I25" i="11"/>
  <c r="I19" i="11"/>
  <c r="L6" i="11"/>
  <c r="F28" i="11" l="1"/>
  <c r="E31" i="11" s="1"/>
  <c r="E28" i="11"/>
  <c r="I28" i="11" s="1"/>
  <c r="Y5" i="11"/>
  <c r="Z5" i="11" s="1"/>
  <c r="AA5" i="11" s="1"/>
  <c r="AB5" i="11" s="1"/>
  <c r="AC5" i="11" s="1"/>
  <c r="AD5" i="11" s="1"/>
  <c r="AE5" i="11" s="1"/>
  <c r="AF5" i="11" s="1"/>
  <c r="AG5" i="11" s="1"/>
  <c r="AH5" i="11" s="1"/>
  <c r="AI5" i="11" s="1"/>
  <c r="AJ5" i="11" s="1"/>
  <c r="AK5" i="11" s="1"/>
  <c r="I20" i="11"/>
  <c r="F31" i="11" l="1"/>
  <c r="E32" i="11"/>
  <c r="AE4" i="11"/>
  <c r="I21" i="11"/>
  <c r="AL5" i="1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 r="E33" i="11" l="1"/>
  <c r="E34" i="11" s="1"/>
  <c r="E35" i="11" l="1"/>
  <c r="F34" i="11"/>
  <c r="F35" i="11" l="1"/>
  <c r="I34" i="11"/>
  <c r="I35" i="11"/>
  <c r="F32" i="11"/>
  <c r="I31" i="11"/>
  <c r="I32" i="11" l="1"/>
  <c r="F33" i="11"/>
</calcChain>
</file>

<file path=xl/sharedStrings.xml><?xml version="1.0" encoding="utf-8"?>
<sst xmlns="http://schemas.openxmlformats.org/spreadsheetml/2006/main" count="79" uniqueCount="60">
  <si>
    <t>Weather Station Schedule</t>
  </si>
  <si>
    <t>Project start:</t>
  </si>
  <si>
    <t>Kansas State Univeristy</t>
  </si>
  <si>
    <t>Project lead: Gantzen Miller</t>
  </si>
  <si>
    <t>Display week:</t>
  </si>
  <si>
    <t>SIMPLE GANTT CHART by Vertex42.com</t>
  </si>
  <si>
    <t>https://www.vertex42.com/ExcelTemplates/simple-gantt-chart.html</t>
  </si>
  <si>
    <t>TASK</t>
  </si>
  <si>
    <t>ASSIGNED TO</t>
  </si>
  <si>
    <t>PROGRESS</t>
  </si>
  <si>
    <t>START DATE</t>
  </si>
  <si>
    <t>END DATE</t>
  </si>
  <si>
    <t>Notes</t>
  </si>
  <si>
    <t xml:space="preserve">Do not delete this row. This row is hidden to preserve a formula that is used to highlight the current day within the project schedule. </t>
  </si>
  <si>
    <t>Phase 1 (Starting Designs)</t>
  </si>
  <si>
    <t>Programming Interface</t>
  </si>
  <si>
    <t>Pete Ozegovic</t>
  </si>
  <si>
    <t>Sesnor Testing</t>
  </si>
  <si>
    <t>Kennedy Jones</t>
  </si>
  <si>
    <t>Sesnor Building</t>
  </si>
  <si>
    <t>Gantzen Miller</t>
  </si>
  <si>
    <t>ESP32 Communication with Modem/ESP Now</t>
  </si>
  <si>
    <t>Ben Rogers</t>
  </si>
  <si>
    <t>Power Circuit Design</t>
  </si>
  <si>
    <t>Christian Evans</t>
  </si>
  <si>
    <t>Power Component Selection</t>
  </si>
  <si>
    <t xml:space="preserve">
Abdullah Ali</t>
  </si>
  <si>
    <t>Phase 2 (Construction and Physical Testing)</t>
  </si>
  <si>
    <t>Sensor Final Selection and Interfacing</t>
  </si>
  <si>
    <t>Box Design</t>
  </si>
  <si>
    <t>MQTT Broker</t>
  </si>
  <si>
    <t>Power Distribution Network (PDN) Design/Construction</t>
  </si>
  <si>
    <t>Solar Panel Construction/Testing</t>
  </si>
  <si>
    <t>PCB Design For Controller</t>
  </si>
  <si>
    <t>Phase 3 (Weather Proofing Finalization and Check-off)</t>
  </si>
  <si>
    <t>Physical Build, Implementation and weather proofing</t>
  </si>
  <si>
    <t>MQTT Reciever (Computer/Server Recieving the data)</t>
  </si>
  <si>
    <t>Finalization of uC Code (FullCommunication Functioning)</t>
  </si>
  <si>
    <t>Combining Power into system</t>
  </si>
  <si>
    <t>Power Network Trouble Shooting</t>
  </si>
  <si>
    <t>Phase 4 (Field Testing and Project Comparison)</t>
  </si>
  <si>
    <t>Data Science Code</t>
  </si>
  <si>
    <t>Final Safety Checks</t>
  </si>
  <si>
    <t>Field Testing/Implementation</t>
  </si>
  <si>
    <t>Data Analysis/Observation</t>
  </si>
  <si>
    <t>Problem Reporting and troubleshooting</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</si>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</sst>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8" tint="0.59996337778862885"/>
      </top>
      <bottom/>
      <diagonal/>
    </border>
    <border>
      <left/>
      <right/>
      <top/>
      <bottom style="thin">
        <color theme="8" tint="0.59996337778862885"/>
      </bottom>
      <diagonal/>
    </border>
    <border>
      <left/>
      <right/>
      <top style="thin">
        <color theme="6" tint="0.59996337778862885"/>
      </top>
      <bottom/>
      <diagonal/>
    </border>
    <border>
      <left/>
      <right/>
      <top/>
      <bottom style="thin">
        <color theme="6" tint="0.59996337778862885"/>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10" borderId="22" xfId="12" applyFont="1" applyFill="1" applyBorder="1" applyAlignment="1">
      <alignment horizontal="left" vertical="center" indent="1"/>
    </xf>
    <xf numFmtId="0" fontId="19" fillId="10" borderId="23" xfId="12" applyFont="1" applyFill="1" applyBorder="1" applyAlignment="1">
      <alignment horizontal="left" vertical="center" indent="1"/>
    </xf>
    <xf numFmtId="0" fontId="19" fillId="4" borderId="5" xfId="11" applyFont="1" applyFill="1" applyBorder="1" applyAlignment="1">
      <alignment vertical="top" wrapText="1"/>
    </xf>
    <xf numFmtId="0" fontId="19" fillId="3" borderId="6" xfId="11" applyFont="1" applyFill="1" applyBorder="1" applyAlignment="1">
      <alignment vertical="top" wrapText="1"/>
    </xf>
    <xf numFmtId="0" fontId="19" fillId="5" borderId="8" xfId="11" applyFont="1" applyFill="1" applyBorder="1" applyAlignment="1">
      <alignment vertical="top" wrapText="1"/>
    </xf>
    <xf numFmtId="0" fontId="19" fillId="10" borderId="9" xfId="11" applyFont="1" applyFill="1" applyBorder="1" applyAlignment="1">
      <alignment vertical="top"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9" fillId="10" borderId="22" xfId="12" applyFont="1" applyFill="1" applyBorder="1" applyAlignment="1">
      <alignment horizontal="center" vertical="center"/>
    </xf>
    <xf numFmtId="0" fontId="19" fillId="10" borderId="23" xfId="12" applyFont="1" applyFill="1" applyBorder="1" applyAlignment="1">
      <alignment horizontal="center" vertical="center"/>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19" fillId="5" borderId="24" xfId="12" applyFont="1" applyFill="1" applyBorder="1" applyAlignment="1">
      <alignment horizontal="center" vertical="center" indent="2"/>
    </xf>
    <xf numFmtId="0" fontId="19" fillId="5" borderId="25" xfId="12" applyFont="1" applyFill="1" applyBorder="1" applyAlignment="1">
      <alignment horizontal="center" vertical="center" indent="2"/>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40"/>
  <sheetViews>
    <sheetView showGridLines="0" tabSelected="1" showRuler="0" topLeftCell="A11" zoomScale="67" zoomScaleNormal="67" zoomScalePageLayoutView="70" workbookViewId="0">
      <selection activeCell="D3" sqref="D3"/>
    </sheetView>
  </sheetViews>
  <sheetFormatPr defaultColWidth="8.75" defaultRowHeight="30" customHeight="1"/>
  <cols>
    <col min="1" max="1" width="2.75" style="13" customWidth="1"/>
    <col min="2" max="2" width="45.625" customWidth="1"/>
    <col min="3" max="3" width="26.625" customWidth="1"/>
    <col min="4" max="4" width="14.25" customWidth="1"/>
    <col min="5" max="5" width="18.5" style="2" customWidth="1"/>
    <col min="6" max="7" width="18.25" customWidth="1"/>
    <col min="8" max="8" width="2.75" customWidth="1"/>
    <col min="9" max="9" width="6" hidden="1" customWidth="1"/>
    <col min="10" max="66" width="2.75" customWidth="1"/>
  </cols>
  <sheetData>
    <row r="1" spans="1:65" ht="90" customHeight="1">
      <c r="A1" s="14"/>
      <c r="B1" s="97" t="s">
        <v>0</v>
      </c>
      <c r="C1" s="18"/>
      <c r="D1" s="19"/>
      <c r="E1" s="20"/>
      <c r="F1" s="21"/>
      <c r="G1" s="21"/>
      <c r="I1" s="1"/>
      <c r="J1" s="118" t="s">
        <v>1</v>
      </c>
      <c r="K1" s="126"/>
      <c r="L1" s="126"/>
      <c r="M1" s="126"/>
      <c r="N1" s="126"/>
      <c r="O1" s="126"/>
      <c r="P1" s="126"/>
      <c r="Q1" s="24"/>
      <c r="R1" s="117">
        <v>46042</v>
      </c>
      <c r="S1" s="127"/>
      <c r="T1" s="127"/>
      <c r="U1" s="127"/>
      <c r="V1" s="127"/>
      <c r="W1" s="127"/>
      <c r="X1" s="127"/>
      <c r="Y1" s="127"/>
      <c r="Z1" s="127"/>
      <c r="AA1" s="127"/>
    </row>
    <row r="2" spans="1:65" ht="30" customHeight="1">
      <c r="B2" s="95" t="s">
        <v>2</v>
      </c>
      <c r="C2" s="96" t="s">
        <v>3</v>
      </c>
      <c r="D2" s="22"/>
      <c r="E2" s="23"/>
      <c r="F2" s="22"/>
      <c r="G2" s="22"/>
      <c r="J2" s="118" t="s">
        <v>4</v>
      </c>
      <c r="K2" s="126"/>
      <c r="L2" s="126"/>
      <c r="M2" s="126"/>
      <c r="N2" s="126"/>
      <c r="O2" s="126"/>
      <c r="P2" s="126"/>
      <c r="Q2" s="24"/>
      <c r="R2" s="116">
        <v>1</v>
      </c>
      <c r="S2" s="127"/>
      <c r="T2" s="127"/>
      <c r="U2" s="127"/>
      <c r="V2" s="127"/>
      <c r="W2" s="127"/>
      <c r="X2" s="127"/>
      <c r="Y2" s="127"/>
      <c r="Z2" s="127"/>
      <c r="AA2" s="127"/>
    </row>
    <row r="3" spans="1:65" s="26" customFormat="1" ht="30" customHeight="1">
      <c r="A3" s="13"/>
      <c r="B3" s="25" t="s">
        <v>5</v>
      </c>
      <c r="D3" s="27"/>
      <c r="E3" s="28"/>
    </row>
    <row r="4" spans="1:65" s="26" customFormat="1" ht="30" customHeight="1">
      <c r="A4" s="14"/>
      <c r="B4" s="29" t="s">
        <v>6</v>
      </c>
      <c r="E4" s="30"/>
      <c r="J4" s="123">
        <f>J5</f>
        <v>46041</v>
      </c>
      <c r="K4" s="121"/>
      <c r="L4" s="121"/>
      <c r="M4" s="121"/>
      <c r="N4" s="121"/>
      <c r="O4" s="121"/>
      <c r="P4" s="121"/>
      <c r="Q4" s="121">
        <f>Q5</f>
        <v>46048</v>
      </c>
      <c r="R4" s="121"/>
      <c r="S4" s="121"/>
      <c r="T4" s="121"/>
      <c r="U4" s="121"/>
      <c r="V4" s="121"/>
      <c r="W4" s="121"/>
      <c r="X4" s="121">
        <f>X5</f>
        <v>46055</v>
      </c>
      <c r="Y4" s="121"/>
      <c r="Z4" s="121"/>
      <c r="AA4" s="121"/>
      <c r="AB4" s="121"/>
      <c r="AC4" s="121"/>
      <c r="AD4" s="121"/>
      <c r="AE4" s="121">
        <f>AE5</f>
        <v>46062</v>
      </c>
      <c r="AF4" s="121"/>
      <c r="AG4" s="121"/>
      <c r="AH4" s="121"/>
      <c r="AI4" s="121"/>
      <c r="AJ4" s="121"/>
      <c r="AK4" s="121"/>
      <c r="AL4" s="121">
        <f>AL5</f>
        <v>46069</v>
      </c>
      <c r="AM4" s="121"/>
      <c r="AN4" s="121"/>
      <c r="AO4" s="121"/>
      <c r="AP4" s="121"/>
      <c r="AQ4" s="121"/>
      <c r="AR4" s="121"/>
      <c r="AS4" s="121">
        <f>AS5</f>
        <v>46076</v>
      </c>
      <c r="AT4" s="121"/>
      <c r="AU4" s="121"/>
      <c r="AV4" s="121"/>
      <c r="AW4" s="121"/>
      <c r="AX4" s="121"/>
      <c r="AY4" s="121"/>
      <c r="AZ4" s="121">
        <f>AZ5</f>
        <v>46083</v>
      </c>
      <c r="BA4" s="121"/>
      <c r="BB4" s="121"/>
      <c r="BC4" s="121"/>
      <c r="BD4" s="121"/>
      <c r="BE4" s="121"/>
      <c r="BF4" s="121"/>
      <c r="BG4" s="121">
        <f>BG5</f>
        <v>46090</v>
      </c>
      <c r="BH4" s="121"/>
      <c r="BI4" s="121"/>
      <c r="BJ4" s="121"/>
      <c r="BK4" s="121"/>
      <c r="BL4" s="121"/>
      <c r="BM4" s="122"/>
    </row>
    <row r="5" spans="1:65" s="26" customFormat="1" ht="15" customHeight="1">
      <c r="A5" s="111"/>
      <c r="B5" s="112" t="s">
        <v>7</v>
      </c>
      <c r="C5" s="114" t="s">
        <v>8</v>
      </c>
      <c r="D5" s="115" t="s">
        <v>9</v>
      </c>
      <c r="E5" s="115" t="s">
        <v>10</v>
      </c>
      <c r="F5" s="115" t="s">
        <v>11</v>
      </c>
      <c r="G5" s="115" t="s">
        <v>12</v>
      </c>
      <c r="J5" s="31">
        <f>Project_Start-WEEKDAY(Project_Start,1)+2+7*(Display_Week-1)</f>
        <v>46041</v>
      </c>
      <c r="K5" s="31">
        <f>J5+1</f>
        <v>46042</v>
      </c>
      <c r="L5" s="31">
        <f t="shared" ref="L5:AY5" si="0">K5+1</f>
        <v>46043</v>
      </c>
      <c r="M5" s="31">
        <f t="shared" si="0"/>
        <v>46044</v>
      </c>
      <c r="N5" s="31">
        <f t="shared" si="0"/>
        <v>46045</v>
      </c>
      <c r="O5" s="31">
        <f t="shared" si="0"/>
        <v>46046</v>
      </c>
      <c r="P5" s="32">
        <f t="shared" si="0"/>
        <v>46047</v>
      </c>
      <c r="Q5" s="33">
        <f>P5+1</f>
        <v>46048</v>
      </c>
      <c r="R5" s="31">
        <f>Q5+1</f>
        <v>46049</v>
      </c>
      <c r="S5" s="31">
        <f t="shared" si="0"/>
        <v>46050</v>
      </c>
      <c r="T5" s="31">
        <f t="shared" si="0"/>
        <v>46051</v>
      </c>
      <c r="U5" s="31">
        <f t="shared" si="0"/>
        <v>46052</v>
      </c>
      <c r="V5" s="31">
        <f t="shared" si="0"/>
        <v>46053</v>
      </c>
      <c r="W5" s="32">
        <f t="shared" si="0"/>
        <v>46054</v>
      </c>
      <c r="X5" s="33">
        <f>W5+1</f>
        <v>46055</v>
      </c>
      <c r="Y5" s="31">
        <f>X5+1</f>
        <v>46056</v>
      </c>
      <c r="Z5" s="31">
        <f t="shared" si="0"/>
        <v>46057</v>
      </c>
      <c r="AA5" s="31">
        <f t="shared" si="0"/>
        <v>46058</v>
      </c>
      <c r="AB5" s="31">
        <f t="shared" si="0"/>
        <v>46059</v>
      </c>
      <c r="AC5" s="31">
        <f t="shared" si="0"/>
        <v>46060</v>
      </c>
      <c r="AD5" s="32">
        <f t="shared" si="0"/>
        <v>46061</v>
      </c>
      <c r="AE5" s="33">
        <f>AD5+1</f>
        <v>46062</v>
      </c>
      <c r="AF5" s="31">
        <f>AE5+1</f>
        <v>46063</v>
      </c>
      <c r="AG5" s="31">
        <f t="shared" si="0"/>
        <v>46064</v>
      </c>
      <c r="AH5" s="31">
        <f t="shared" si="0"/>
        <v>46065</v>
      </c>
      <c r="AI5" s="31">
        <f t="shared" si="0"/>
        <v>46066</v>
      </c>
      <c r="AJ5" s="31">
        <f t="shared" si="0"/>
        <v>46067</v>
      </c>
      <c r="AK5" s="32">
        <f t="shared" si="0"/>
        <v>46068</v>
      </c>
      <c r="AL5" s="33">
        <f>AK5+1</f>
        <v>46069</v>
      </c>
      <c r="AM5" s="31">
        <f>AL5+1</f>
        <v>46070</v>
      </c>
      <c r="AN5" s="31">
        <f t="shared" si="0"/>
        <v>46071</v>
      </c>
      <c r="AO5" s="31">
        <f t="shared" si="0"/>
        <v>46072</v>
      </c>
      <c r="AP5" s="31">
        <f t="shared" si="0"/>
        <v>46073</v>
      </c>
      <c r="AQ5" s="31">
        <f t="shared" si="0"/>
        <v>46074</v>
      </c>
      <c r="AR5" s="32">
        <f t="shared" si="0"/>
        <v>46075</v>
      </c>
      <c r="AS5" s="33">
        <f>AR5+1</f>
        <v>46076</v>
      </c>
      <c r="AT5" s="31">
        <f>AS5+1</f>
        <v>46077</v>
      </c>
      <c r="AU5" s="31">
        <f t="shared" si="0"/>
        <v>46078</v>
      </c>
      <c r="AV5" s="31">
        <f t="shared" si="0"/>
        <v>46079</v>
      </c>
      <c r="AW5" s="31">
        <f t="shared" si="0"/>
        <v>46080</v>
      </c>
      <c r="AX5" s="31">
        <f t="shared" si="0"/>
        <v>46081</v>
      </c>
      <c r="AY5" s="32">
        <f t="shared" si="0"/>
        <v>46082</v>
      </c>
      <c r="AZ5" s="33">
        <f>AY5+1</f>
        <v>46083</v>
      </c>
      <c r="BA5" s="31">
        <f>AZ5+1</f>
        <v>46084</v>
      </c>
      <c r="BB5" s="31">
        <f t="shared" ref="BB5:BF5" si="1">BA5+1</f>
        <v>46085</v>
      </c>
      <c r="BC5" s="31">
        <f t="shared" si="1"/>
        <v>46086</v>
      </c>
      <c r="BD5" s="31">
        <f t="shared" si="1"/>
        <v>46087</v>
      </c>
      <c r="BE5" s="31">
        <f t="shared" si="1"/>
        <v>46088</v>
      </c>
      <c r="BF5" s="32">
        <f t="shared" si="1"/>
        <v>46089</v>
      </c>
      <c r="BG5" s="33">
        <f>BF5+1</f>
        <v>46090</v>
      </c>
      <c r="BH5" s="31">
        <f>BG5+1</f>
        <v>46091</v>
      </c>
      <c r="BI5" s="31">
        <f t="shared" ref="BI5:BM5" si="2">BH5+1</f>
        <v>46092</v>
      </c>
      <c r="BJ5" s="31">
        <f t="shared" si="2"/>
        <v>46093</v>
      </c>
      <c r="BK5" s="31">
        <f t="shared" si="2"/>
        <v>46094</v>
      </c>
      <c r="BL5" s="31">
        <f t="shared" si="2"/>
        <v>46095</v>
      </c>
      <c r="BM5" s="31">
        <f t="shared" si="2"/>
        <v>46096</v>
      </c>
    </row>
    <row r="6" spans="1:65" s="26" customFormat="1" ht="15" customHeight="1" thickBot="1">
      <c r="A6" s="111"/>
      <c r="B6" s="113"/>
      <c r="C6" s="128"/>
      <c r="D6" s="128"/>
      <c r="E6" s="128"/>
      <c r="F6" s="128"/>
      <c r="G6" s="128"/>
      <c r="J6" s="34" t="str">
        <f t="shared" ref="J6:AO6" si="3">LEFT(TEXT(J5,"ddd"),1)</f>
        <v>M</v>
      </c>
      <c r="K6" s="35" t="str">
        <f t="shared" si="3"/>
        <v>T</v>
      </c>
      <c r="L6" s="35" t="str">
        <f t="shared" si="3"/>
        <v>W</v>
      </c>
      <c r="M6" s="35" t="str">
        <f t="shared" si="3"/>
        <v>T</v>
      </c>
      <c r="N6" s="35" t="str">
        <f t="shared" si="3"/>
        <v>F</v>
      </c>
      <c r="O6" s="35" t="str">
        <f t="shared" si="3"/>
        <v>S</v>
      </c>
      <c r="P6" s="35" t="str">
        <f t="shared" si="3"/>
        <v>S</v>
      </c>
      <c r="Q6" s="35" t="str">
        <f t="shared" si="3"/>
        <v>M</v>
      </c>
      <c r="R6" s="35" t="str">
        <f t="shared" si="3"/>
        <v>T</v>
      </c>
      <c r="S6" s="35" t="str">
        <f t="shared" si="3"/>
        <v>W</v>
      </c>
      <c r="T6" s="35" t="str">
        <f t="shared" si="3"/>
        <v>T</v>
      </c>
      <c r="U6" s="35" t="str">
        <f t="shared" si="3"/>
        <v>F</v>
      </c>
      <c r="V6" s="35" t="str">
        <f t="shared" si="3"/>
        <v>S</v>
      </c>
      <c r="W6" s="35" t="str">
        <f t="shared" si="3"/>
        <v>S</v>
      </c>
      <c r="X6" s="35" t="str">
        <f t="shared" si="3"/>
        <v>M</v>
      </c>
      <c r="Y6" s="35" t="str">
        <f t="shared" si="3"/>
        <v>T</v>
      </c>
      <c r="Z6" s="35" t="str">
        <f t="shared" si="3"/>
        <v>W</v>
      </c>
      <c r="AA6" s="35" t="str">
        <f t="shared" si="3"/>
        <v>T</v>
      </c>
      <c r="AB6" s="35" t="str">
        <f t="shared" si="3"/>
        <v>F</v>
      </c>
      <c r="AC6" s="35" t="str">
        <f t="shared" si="3"/>
        <v>S</v>
      </c>
      <c r="AD6" s="35" t="str">
        <f t="shared" si="3"/>
        <v>S</v>
      </c>
      <c r="AE6" s="35" t="str">
        <f t="shared" si="3"/>
        <v>M</v>
      </c>
      <c r="AF6" s="35" t="str">
        <f t="shared" si="3"/>
        <v>T</v>
      </c>
      <c r="AG6" s="35" t="str">
        <f t="shared" si="3"/>
        <v>W</v>
      </c>
      <c r="AH6" s="35" t="str">
        <f t="shared" si="3"/>
        <v>T</v>
      </c>
      <c r="AI6" s="35" t="str">
        <f t="shared" si="3"/>
        <v>F</v>
      </c>
      <c r="AJ6" s="35" t="str">
        <f t="shared" si="3"/>
        <v>S</v>
      </c>
      <c r="AK6" s="35" t="str">
        <f t="shared" si="3"/>
        <v>S</v>
      </c>
      <c r="AL6" s="35" t="str">
        <f t="shared" si="3"/>
        <v>M</v>
      </c>
      <c r="AM6" s="35" t="str">
        <f t="shared" si="3"/>
        <v>T</v>
      </c>
      <c r="AN6" s="35" t="str">
        <f t="shared" si="3"/>
        <v>W</v>
      </c>
      <c r="AO6" s="35" t="str">
        <f t="shared" si="3"/>
        <v>T</v>
      </c>
      <c r="AP6" s="35" t="str">
        <f t="shared" ref="AP6:BM6" si="4">LEFT(TEXT(AP5,"ddd"),1)</f>
        <v>F</v>
      </c>
      <c r="AQ6" s="35" t="str">
        <f t="shared" si="4"/>
        <v>S</v>
      </c>
      <c r="AR6" s="35" t="str">
        <f t="shared" si="4"/>
        <v>S</v>
      </c>
      <c r="AS6" s="35" t="str">
        <f t="shared" si="4"/>
        <v>M</v>
      </c>
      <c r="AT6" s="35" t="str">
        <f t="shared" si="4"/>
        <v>T</v>
      </c>
      <c r="AU6" s="35" t="str">
        <f t="shared" si="4"/>
        <v>W</v>
      </c>
      <c r="AV6" s="35" t="str">
        <f t="shared" si="4"/>
        <v>T</v>
      </c>
      <c r="AW6" s="35" t="str">
        <f t="shared" si="4"/>
        <v>F</v>
      </c>
      <c r="AX6" s="35" t="str">
        <f t="shared" si="4"/>
        <v>S</v>
      </c>
      <c r="AY6" s="35" t="str">
        <f t="shared" si="4"/>
        <v>S</v>
      </c>
      <c r="AZ6" s="35" t="str">
        <f t="shared" si="4"/>
        <v>M</v>
      </c>
      <c r="BA6" s="35" t="str">
        <f t="shared" si="4"/>
        <v>T</v>
      </c>
      <c r="BB6" s="35" t="str">
        <f t="shared" si="4"/>
        <v>W</v>
      </c>
      <c r="BC6" s="35" t="str">
        <f t="shared" si="4"/>
        <v>T</v>
      </c>
      <c r="BD6" s="35" t="str">
        <f t="shared" si="4"/>
        <v>F</v>
      </c>
      <c r="BE6" s="35" t="str">
        <f t="shared" si="4"/>
        <v>S</v>
      </c>
      <c r="BF6" s="35" t="str">
        <f t="shared" si="4"/>
        <v>S</v>
      </c>
      <c r="BG6" s="35" t="str">
        <f t="shared" si="4"/>
        <v>M</v>
      </c>
      <c r="BH6" s="35" t="str">
        <f t="shared" si="4"/>
        <v>T</v>
      </c>
      <c r="BI6" s="35" t="str">
        <f t="shared" si="4"/>
        <v>W</v>
      </c>
      <c r="BJ6" s="35" t="str">
        <f t="shared" si="4"/>
        <v>T</v>
      </c>
      <c r="BK6" s="35" t="str">
        <f t="shared" si="4"/>
        <v>F</v>
      </c>
      <c r="BL6" s="35" t="str">
        <f t="shared" si="4"/>
        <v>S</v>
      </c>
      <c r="BM6" s="36" t="str">
        <f t="shared" si="4"/>
        <v>S</v>
      </c>
    </row>
    <row r="7" spans="1:65" s="26" customFormat="1" ht="30" hidden="1" customHeight="1" thickBot="1">
      <c r="A7" s="13" t="s">
        <v>13</v>
      </c>
      <c r="B7" s="37"/>
      <c r="C7" s="38"/>
      <c r="D7" s="37"/>
      <c r="E7" s="37"/>
      <c r="F7" s="37"/>
      <c r="G7" s="37"/>
      <c r="I7" s="26" t="str">
        <f ca="1">IF(OR(ISBLANK(task_start),ISBLANK(task_end)),"",task_end-task_start+1)</f>
        <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row>
    <row r="8" spans="1:65" s="46" customFormat="1" ht="30" customHeight="1" thickBot="1">
      <c r="A8" s="14"/>
      <c r="B8" s="40" t="s">
        <v>14</v>
      </c>
      <c r="C8" s="41"/>
      <c r="D8" s="42"/>
      <c r="E8" s="43"/>
      <c r="F8" s="44"/>
      <c r="G8" s="44"/>
      <c r="H8" s="17"/>
      <c r="I8" s="5" t="str">
        <f t="shared" ref="I8:I37" ca="1" si="5">IF(OR(ISBLANK(task_start),ISBLANK(task_end)),"",task_end-task_start+1)</f>
        <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row>
    <row r="9" spans="1:65" s="46" customFormat="1" ht="30" customHeight="1" thickBot="1">
      <c r="A9" s="14"/>
      <c r="B9" s="47" t="s">
        <v>15</v>
      </c>
      <c r="C9" s="48" t="s">
        <v>16</v>
      </c>
      <c r="D9" s="49">
        <v>0</v>
      </c>
      <c r="E9" s="50">
        <f>Project_Start</f>
        <v>46042</v>
      </c>
      <c r="F9" s="50">
        <f>E9+14</f>
        <v>46056</v>
      </c>
      <c r="G9" s="50"/>
      <c r="H9" s="17"/>
      <c r="I9" s="5">
        <f t="shared" ca="1" si="5"/>
        <v>15</v>
      </c>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row>
    <row r="10" spans="1:65" s="46" customFormat="1" ht="30" customHeight="1" thickBot="1">
      <c r="A10" s="14"/>
      <c r="B10" s="52" t="s">
        <v>17</v>
      </c>
      <c r="C10" s="48" t="s">
        <v>18</v>
      </c>
      <c r="D10" s="53">
        <v>0</v>
      </c>
      <c r="E10" s="54">
        <f>E9</f>
        <v>46042</v>
      </c>
      <c r="F10" s="50">
        <f>E10+14</f>
        <v>46056</v>
      </c>
      <c r="G10" s="50"/>
      <c r="H10" s="17"/>
      <c r="I10" s="5">
        <f t="shared" ca="1" si="5"/>
        <v>15</v>
      </c>
      <c r="J10" s="51"/>
      <c r="K10" s="51"/>
      <c r="L10" s="51"/>
      <c r="M10" s="51"/>
      <c r="N10" s="51"/>
      <c r="O10" s="51"/>
      <c r="P10" s="51"/>
      <c r="Q10" s="51"/>
      <c r="R10" s="51"/>
      <c r="S10" s="51"/>
      <c r="T10" s="51"/>
      <c r="U10" s="51"/>
      <c r="V10" s="55"/>
      <c r="W10" s="55"/>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row>
    <row r="11" spans="1:65" s="46" customFormat="1" ht="30" customHeight="1" thickBot="1">
      <c r="A11" s="13"/>
      <c r="B11" s="52" t="s">
        <v>19</v>
      </c>
      <c r="C11" s="48" t="s">
        <v>20</v>
      </c>
      <c r="D11" s="53">
        <v>0.35</v>
      </c>
      <c r="E11" s="54">
        <f>E9</f>
        <v>46042</v>
      </c>
      <c r="F11" s="50">
        <f>E11+14</f>
        <v>46056</v>
      </c>
      <c r="G11" s="50"/>
      <c r="H11" s="17"/>
      <c r="I11" s="5">
        <f t="shared" ca="1" si="5"/>
        <v>15</v>
      </c>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row>
    <row r="12" spans="1:65" s="46" customFormat="1" ht="30" customHeight="1" thickBot="1">
      <c r="A12" s="13"/>
      <c r="B12" s="52" t="s">
        <v>21</v>
      </c>
      <c r="C12" s="48" t="s">
        <v>22</v>
      </c>
      <c r="D12" s="53">
        <v>0</v>
      </c>
      <c r="E12" s="54">
        <f>E9</f>
        <v>46042</v>
      </c>
      <c r="F12" s="50">
        <f>E12+14</f>
        <v>46056</v>
      </c>
      <c r="G12" s="50"/>
      <c r="H12" s="17"/>
      <c r="I12" s="5">
        <f t="shared" ca="1" si="5"/>
        <v>15</v>
      </c>
      <c r="J12" s="51"/>
      <c r="K12" s="51"/>
      <c r="L12" s="51"/>
      <c r="M12" s="51"/>
      <c r="N12" s="51"/>
      <c r="O12" s="51"/>
      <c r="P12" s="51"/>
      <c r="Q12" s="51"/>
      <c r="R12" s="51"/>
      <c r="S12" s="51"/>
      <c r="T12" s="51"/>
      <c r="U12" s="51"/>
      <c r="V12" s="51"/>
      <c r="W12" s="51"/>
      <c r="X12" s="51"/>
      <c r="Y12" s="51"/>
      <c r="Z12" s="55"/>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row>
    <row r="13" spans="1:65" s="46" customFormat="1" ht="30" customHeight="1" thickBot="1">
      <c r="A13" s="13"/>
      <c r="B13" s="52" t="s">
        <v>23</v>
      </c>
      <c r="C13" s="48" t="s">
        <v>24</v>
      </c>
      <c r="D13" s="53">
        <v>0.1</v>
      </c>
      <c r="E13" s="54">
        <f>E10+5</f>
        <v>46047</v>
      </c>
      <c r="F13" s="50">
        <f>E13+14</f>
        <v>46061</v>
      </c>
      <c r="G13" s="50"/>
      <c r="H13" s="17"/>
      <c r="I13" s="5"/>
      <c r="J13" s="51"/>
      <c r="K13" s="51"/>
      <c r="L13" s="51"/>
      <c r="M13" s="51"/>
      <c r="N13" s="51"/>
      <c r="O13" s="51"/>
      <c r="P13" s="51"/>
      <c r="Q13" s="51"/>
      <c r="R13" s="51"/>
      <c r="S13" s="51"/>
      <c r="T13" s="51"/>
      <c r="U13" s="51"/>
      <c r="V13" s="51"/>
      <c r="W13" s="51"/>
      <c r="X13" s="51"/>
      <c r="Y13" s="51"/>
      <c r="Z13" s="55"/>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row>
    <row r="14" spans="1:65" s="46" customFormat="1" ht="30" customHeight="1" thickBot="1">
      <c r="A14" s="13"/>
      <c r="B14" s="52" t="s">
        <v>25</v>
      </c>
      <c r="C14" s="108" t="s">
        <v>26</v>
      </c>
      <c r="D14" s="53">
        <v>0</v>
      </c>
      <c r="E14" s="54">
        <f>E13+1</f>
        <v>46048</v>
      </c>
      <c r="F14" s="50">
        <f>E14+8</f>
        <v>46056</v>
      </c>
      <c r="G14" s="50"/>
      <c r="H14" s="17"/>
      <c r="I14" s="5">
        <f t="shared" ca="1" si="5"/>
        <v>9</v>
      </c>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row>
    <row r="15" spans="1:65" s="46" customFormat="1" ht="30" customHeight="1" thickBot="1">
      <c r="A15" s="14"/>
      <c r="B15" s="56" t="s">
        <v>27</v>
      </c>
      <c r="C15" s="57"/>
      <c r="D15" s="58"/>
      <c r="E15" s="59"/>
      <c r="F15" s="60"/>
      <c r="G15" s="60"/>
      <c r="H15" s="17"/>
      <c r="I15" s="5" t="str">
        <f t="shared" ca="1" si="5"/>
        <v/>
      </c>
    </row>
    <row r="16" spans="1:65" s="46" customFormat="1" ht="30" customHeight="1" thickBot="1">
      <c r="A16" s="14"/>
      <c r="B16" s="61" t="s">
        <v>28</v>
      </c>
      <c r="C16" s="62" t="s">
        <v>18</v>
      </c>
      <c r="D16" s="63">
        <v>0</v>
      </c>
      <c r="E16" s="64">
        <f>F10</f>
        <v>46056</v>
      </c>
      <c r="F16" s="64">
        <f>E16+7</f>
        <v>46063</v>
      </c>
      <c r="G16" s="64"/>
      <c r="H16" s="17"/>
      <c r="I16" s="5">
        <f t="shared" ca="1" si="5"/>
        <v>8</v>
      </c>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row>
    <row r="17" spans="1:65" s="46" customFormat="1" ht="30" customHeight="1" thickBot="1">
      <c r="A17" s="14"/>
      <c r="B17" s="61" t="s">
        <v>29</v>
      </c>
      <c r="C17" s="62" t="s">
        <v>22</v>
      </c>
      <c r="D17" s="63">
        <v>0</v>
      </c>
      <c r="E17" s="64">
        <f>F11</f>
        <v>46056</v>
      </c>
      <c r="F17" s="64">
        <f>E17+12</f>
        <v>46068</v>
      </c>
      <c r="G17" s="64"/>
      <c r="H17" s="17"/>
      <c r="I17" s="5"/>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row>
    <row r="18" spans="1:65" s="46" customFormat="1" ht="30" customHeight="1" thickBot="1">
      <c r="A18" s="13"/>
      <c r="B18" s="61" t="s">
        <v>30</v>
      </c>
      <c r="C18" s="62" t="s">
        <v>16</v>
      </c>
      <c r="D18" s="63">
        <v>0</v>
      </c>
      <c r="E18" s="64">
        <f>F12</f>
        <v>46056</v>
      </c>
      <c r="F18" s="64">
        <f>E18+10</f>
        <v>46066</v>
      </c>
      <c r="G18" s="64"/>
      <c r="H18" s="17"/>
      <c r="I18" s="5">
        <f t="shared" ca="1" si="5"/>
        <v>11</v>
      </c>
      <c r="J18" s="51"/>
      <c r="K18" s="51"/>
      <c r="L18" s="51"/>
      <c r="M18" s="51"/>
      <c r="N18" s="51"/>
      <c r="O18" s="51"/>
      <c r="P18" s="51"/>
      <c r="Q18" s="51"/>
      <c r="R18" s="51"/>
      <c r="S18" s="51"/>
      <c r="T18" s="51"/>
      <c r="U18" s="51"/>
      <c r="V18" s="55"/>
      <c r="W18" s="55"/>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row>
    <row r="19" spans="1:65" s="46" customFormat="1" ht="30" customHeight="1" thickBot="1">
      <c r="A19" s="13"/>
      <c r="B19" s="61" t="s">
        <v>31</v>
      </c>
      <c r="C19" s="62" t="s">
        <v>24</v>
      </c>
      <c r="D19" s="63">
        <v>0</v>
      </c>
      <c r="E19" s="64">
        <f>F13</f>
        <v>46061</v>
      </c>
      <c r="F19" s="64">
        <f>E19+12</f>
        <v>46073</v>
      </c>
      <c r="G19" s="64"/>
      <c r="H19" s="17"/>
      <c r="I19" s="5">
        <f t="shared" ca="1" si="5"/>
        <v>13</v>
      </c>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row>
    <row r="20" spans="1:65" s="46" customFormat="1" ht="30" customHeight="1" thickBot="1">
      <c r="A20" s="13"/>
      <c r="B20" s="61" t="s">
        <v>32</v>
      </c>
      <c r="C20" s="107" t="s">
        <v>26</v>
      </c>
      <c r="D20" s="63">
        <v>0</v>
      </c>
      <c r="E20" s="64">
        <f>E19</f>
        <v>46061</v>
      </c>
      <c r="F20" s="64">
        <f>F19</f>
        <v>46073</v>
      </c>
      <c r="G20" s="64"/>
      <c r="H20" s="17"/>
      <c r="I20" s="5">
        <f t="shared" ca="1" si="5"/>
        <v>13</v>
      </c>
      <c r="J20" s="51"/>
      <c r="K20" s="51"/>
      <c r="L20" s="51"/>
      <c r="M20" s="51"/>
      <c r="N20" s="51"/>
      <c r="O20" s="51"/>
      <c r="P20" s="51"/>
      <c r="Q20" s="51"/>
      <c r="R20" s="51"/>
      <c r="S20" s="51"/>
      <c r="T20" s="51"/>
      <c r="U20" s="51"/>
      <c r="V20" s="51"/>
      <c r="W20" s="51"/>
      <c r="X20" s="51"/>
      <c r="Y20" s="51"/>
      <c r="Z20" s="55"/>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row>
    <row r="21" spans="1:65" s="46" customFormat="1" ht="30" customHeight="1" thickBot="1">
      <c r="A21" s="13"/>
      <c r="B21" s="61" t="s">
        <v>33</v>
      </c>
      <c r="C21" s="62" t="s">
        <v>20</v>
      </c>
      <c r="D21" s="63">
        <v>0</v>
      </c>
      <c r="E21" s="64">
        <f>E17-2</f>
        <v>46054</v>
      </c>
      <c r="F21" s="64">
        <f>E21+12</f>
        <v>46066</v>
      </c>
      <c r="G21" s="64"/>
      <c r="H21" s="17"/>
      <c r="I21" s="5">
        <f t="shared" ca="1" si="5"/>
        <v>13</v>
      </c>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row>
    <row r="22" spans="1:65" s="46" customFormat="1" ht="30" customHeight="1">
      <c r="A22" s="13"/>
      <c r="B22" s="65" t="s">
        <v>34</v>
      </c>
      <c r="C22" s="66"/>
      <c r="D22" s="67"/>
      <c r="E22" s="68"/>
      <c r="F22" s="69"/>
      <c r="G22" s="69"/>
      <c r="H22" s="17"/>
      <c r="I22" s="5" t="str">
        <f t="shared" ca="1" si="5"/>
        <v/>
      </c>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row>
    <row r="23" spans="1:65" s="46" customFormat="1" ht="30" customHeight="1">
      <c r="A23" s="13"/>
      <c r="B23" s="124" t="s">
        <v>35</v>
      </c>
      <c r="C23" s="72" t="s">
        <v>20</v>
      </c>
      <c r="D23" s="73">
        <v>0</v>
      </c>
      <c r="E23" s="74">
        <f>F20</f>
        <v>46073</v>
      </c>
      <c r="F23" s="74">
        <f>E23+12</f>
        <v>46085</v>
      </c>
      <c r="G23" s="74"/>
      <c r="H23" s="17"/>
      <c r="I23" s="5">
        <f t="shared" ca="1" si="5"/>
        <v>13</v>
      </c>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row>
    <row r="24" spans="1:65" s="46" customFormat="1" ht="30" customHeight="1">
      <c r="A24" s="13"/>
      <c r="B24" s="125"/>
      <c r="C24" s="72" t="s">
        <v>18</v>
      </c>
      <c r="D24" s="73">
        <v>0</v>
      </c>
      <c r="E24" s="74">
        <f>F17</f>
        <v>46068</v>
      </c>
      <c r="F24" s="74">
        <f>F23</f>
        <v>46085</v>
      </c>
      <c r="G24" s="74"/>
      <c r="H24" s="17"/>
      <c r="I24" s="5">
        <f t="shared" ca="1" si="5"/>
        <v>18</v>
      </c>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row>
    <row r="25" spans="1:65" s="46" customFormat="1" ht="30" customHeight="1">
      <c r="A25" s="13"/>
      <c r="B25" s="71" t="s">
        <v>36</v>
      </c>
      <c r="C25" s="72" t="s">
        <v>22</v>
      </c>
      <c r="D25" s="73">
        <v>0</v>
      </c>
      <c r="E25" s="74">
        <f>E24</f>
        <v>46068</v>
      </c>
      <c r="F25" s="74">
        <f>F24-1</f>
        <v>46084</v>
      </c>
      <c r="G25" s="74"/>
      <c r="H25" s="17"/>
      <c r="I25" s="5">
        <f t="shared" ca="1" si="5"/>
        <v>17</v>
      </c>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row>
    <row r="26" spans="1:65" s="46" customFormat="1" ht="30" customHeight="1" thickBot="1">
      <c r="A26" s="13"/>
      <c r="B26" s="71" t="s">
        <v>37</v>
      </c>
      <c r="C26" s="72" t="s">
        <v>16</v>
      </c>
      <c r="D26" s="73">
        <v>0</v>
      </c>
      <c r="E26" s="74">
        <f>F18</f>
        <v>46066</v>
      </c>
      <c r="F26" s="74">
        <f>E26+12</f>
        <v>46078</v>
      </c>
      <c r="G26" s="74"/>
      <c r="H26" s="17"/>
      <c r="I26" s="5">
        <f t="shared" ca="1" si="5"/>
        <v>13</v>
      </c>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row>
    <row r="27" spans="1:65" s="46" customFormat="1" ht="30" customHeight="1" thickBot="1">
      <c r="A27" s="13"/>
      <c r="B27" s="71" t="s">
        <v>38</v>
      </c>
      <c r="C27" s="72" t="s">
        <v>24</v>
      </c>
      <c r="D27" s="73">
        <v>0</v>
      </c>
      <c r="E27" s="74">
        <f>F19</f>
        <v>46073</v>
      </c>
      <c r="F27" s="74">
        <f>E27+12</f>
        <v>46085</v>
      </c>
      <c r="G27" s="74"/>
      <c r="H27" s="17"/>
      <c r="I27" s="5"/>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row>
    <row r="28" spans="1:65" s="46" customFormat="1" ht="30" customHeight="1" thickBot="1">
      <c r="A28" s="13"/>
      <c r="B28" s="71" t="s">
        <v>39</v>
      </c>
      <c r="C28" s="109" t="s">
        <v>26</v>
      </c>
      <c r="D28" s="73">
        <v>0</v>
      </c>
      <c r="E28" s="74">
        <f>E27+2</f>
        <v>46075</v>
      </c>
      <c r="F28" s="74">
        <f>F27+1</f>
        <v>46086</v>
      </c>
      <c r="G28" s="74"/>
      <c r="H28" s="17"/>
      <c r="I28" s="5">
        <f t="shared" ca="1" si="5"/>
        <v>12</v>
      </c>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row>
    <row r="29" spans="1:65" s="46" customFormat="1" ht="30" customHeight="1" thickBot="1">
      <c r="A29" s="13"/>
      <c r="B29" s="75" t="s">
        <v>40</v>
      </c>
      <c r="C29" s="76"/>
      <c r="D29" s="77"/>
      <c r="E29" s="78"/>
      <c r="F29" s="79"/>
      <c r="G29" s="79"/>
      <c r="H29" s="17"/>
      <c r="I29" s="5" t="str">
        <f t="shared" ca="1" si="5"/>
        <v/>
      </c>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row>
    <row r="30" spans="1:65" s="46" customFormat="1" ht="30" customHeight="1" thickBot="1">
      <c r="A30" s="13"/>
      <c r="B30" s="81" t="s">
        <v>41</v>
      </c>
      <c r="C30" s="82" t="s">
        <v>16</v>
      </c>
      <c r="D30" s="83">
        <v>0</v>
      </c>
      <c r="E30" s="84">
        <f>F26+1</f>
        <v>46079</v>
      </c>
      <c r="F30" s="84">
        <f>E30+7</f>
        <v>46086</v>
      </c>
      <c r="G30" s="84"/>
      <c r="H30" s="17"/>
      <c r="I30" s="5">
        <f t="shared" ca="1" si="5"/>
        <v>8</v>
      </c>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row>
    <row r="31" spans="1:65" s="46" customFormat="1" ht="30" customHeight="1" thickBot="1">
      <c r="A31" s="13"/>
      <c r="B31" s="81" t="s">
        <v>42</v>
      </c>
      <c r="C31" s="82" t="s">
        <v>24</v>
      </c>
      <c r="D31" s="83">
        <v>0</v>
      </c>
      <c r="E31" s="84">
        <f>F28</f>
        <v>46086</v>
      </c>
      <c r="F31" s="84">
        <f>E31+7</f>
        <v>46093</v>
      </c>
      <c r="G31" s="84"/>
      <c r="H31" s="17"/>
      <c r="I31" s="5">
        <f t="shared" ca="1" si="5"/>
        <v>8</v>
      </c>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row>
    <row r="32" spans="1:65" s="46" customFormat="1" ht="30" customHeight="1" thickBot="1">
      <c r="A32" s="13"/>
      <c r="B32" s="119" t="s">
        <v>43</v>
      </c>
      <c r="C32" s="82" t="s">
        <v>18</v>
      </c>
      <c r="D32" s="83">
        <v>0</v>
      </c>
      <c r="E32" s="84">
        <f>E31</f>
        <v>46086</v>
      </c>
      <c r="F32" s="84">
        <f>F31</f>
        <v>46093</v>
      </c>
      <c r="G32" s="84"/>
      <c r="H32" s="17"/>
      <c r="I32" s="5">
        <f t="shared" ca="1" si="5"/>
        <v>8</v>
      </c>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row>
    <row r="33" spans="1:65" s="46" customFormat="1" ht="30" customHeight="1" thickBot="1">
      <c r="A33" s="13"/>
      <c r="B33" s="120"/>
      <c r="C33" s="82" t="s">
        <v>20</v>
      </c>
      <c r="D33" s="83">
        <f>D32</f>
        <v>0</v>
      </c>
      <c r="E33" s="84">
        <f>E32</f>
        <v>46086</v>
      </c>
      <c r="F33" s="84">
        <f>F32</f>
        <v>46093</v>
      </c>
      <c r="G33" s="84"/>
      <c r="H33" s="17"/>
      <c r="I33" s="5"/>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row>
    <row r="34" spans="1:65" s="46" customFormat="1" ht="30" customHeight="1" thickBot="1">
      <c r="A34" s="13"/>
      <c r="B34" s="105" t="s">
        <v>44</v>
      </c>
      <c r="C34" s="82" t="s">
        <v>22</v>
      </c>
      <c r="D34" s="83">
        <v>0</v>
      </c>
      <c r="E34" s="84">
        <f>E33+1</f>
        <v>46087</v>
      </c>
      <c r="F34" s="84">
        <f>E34+30</f>
        <v>46117</v>
      </c>
      <c r="G34" s="84"/>
      <c r="H34" s="17"/>
      <c r="I34" s="5">
        <f t="shared" ca="1" si="5"/>
        <v>31</v>
      </c>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row>
    <row r="35" spans="1:65" s="46" customFormat="1" ht="30" customHeight="1" thickBot="1">
      <c r="A35" s="13"/>
      <c r="B35" s="106" t="s">
        <v>45</v>
      </c>
      <c r="C35" s="110" t="s">
        <v>26</v>
      </c>
      <c r="D35" s="83">
        <f>D34</f>
        <v>0</v>
      </c>
      <c r="E35" s="84">
        <f>E34+5</f>
        <v>46092</v>
      </c>
      <c r="F35" s="84">
        <f>F34</f>
        <v>46117</v>
      </c>
      <c r="G35" s="84"/>
      <c r="H35" s="17"/>
      <c r="I35" s="5">
        <f t="shared" ca="1" si="5"/>
        <v>26</v>
      </c>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row>
    <row r="36" spans="1:65" s="46" customFormat="1" ht="30" customHeight="1" thickBot="1">
      <c r="A36" s="13"/>
      <c r="B36" s="85"/>
      <c r="C36" s="86"/>
      <c r="D36" s="87"/>
      <c r="E36" s="88"/>
      <c r="F36" s="88"/>
      <c r="G36" s="88"/>
      <c r="H36" s="17"/>
      <c r="I36" s="5" t="str">
        <f t="shared" ca="1" si="5"/>
        <v/>
      </c>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row>
    <row r="37" spans="1:65" s="46" customFormat="1" ht="30" customHeight="1" thickBot="1">
      <c r="A37" s="14"/>
      <c r="B37" s="89" t="s">
        <v>46</v>
      </c>
      <c r="C37" s="90"/>
      <c r="D37" s="91"/>
      <c r="E37" s="92"/>
      <c r="F37" s="93"/>
      <c r="G37" s="93"/>
      <c r="H37" s="17"/>
      <c r="I37" s="6" t="str">
        <f t="shared" ca="1" si="5"/>
        <v/>
      </c>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row>
    <row r="38" spans="1:65" ht="30" customHeight="1">
      <c r="H38" s="3"/>
    </row>
    <row r="39" spans="1:65" ht="30" customHeight="1">
      <c r="C39" s="16"/>
      <c r="F39" s="15"/>
      <c r="G39" s="15"/>
    </row>
    <row r="40" spans="1:65" ht="30" customHeight="1">
      <c r="C40" s="4"/>
    </row>
  </sheetData>
  <mergeCells count="21">
    <mergeCell ref="B32:B33"/>
    <mergeCell ref="BG4:BM4"/>
    <mergeCell ref="J4:P4"/>
    <mergeCell ref="Q4:W4"/>
    <mergeCell ref="X4:AD4"/>
    <mergeCell ref="AE4:AK4"/>
    <mergeCell ref="AL4:AR4"/>
    <mergeCell ref="AS4:AY4"/>
    <mergeCell ref="AZ4:BF4"/>
    <mergeCell ref="F5:F6"/>
    <mergeCell ref="B23:B24"/>
    <mergeCell ref="R2:AA2"/>
    <mergeCell ref="R1:AA1"/>
    <mergeCell ref="J1:P1"/>
    <mergeCell ref="J2:P2"/>
    <mergeCell ref="G5:G6"/>
    <mergeCell ref="A5:A6"/>
    <mergeCell ref="B5:B6"/>
    <mergeCell ref="C5:C6"/>
    <mergeCell ref="D5:D6"/>
    <mergeCell ref="E5:E6"/>
  </mergeCells>
  <conditionalFormatting sqref="D7:D37">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J4:BM35">
    <cfRule type="expression" dxfId="8" priority="1">
      <formula>AND(TODAY()&gt;=J$5, TODAY()&lt;K$5)</formula>
    </cfRule>
  </conditionalFormatting>
  <conditionalFormatting sqref="J9:BM14">
    <cfRule type="expression" dxfId="7" priority="6">
      <formula>AND(task_start&lt;=J$5,ROUNDDOWN((task_end-task_start+1)*task_progress,0)+task_start-1&gt;=J$5)</formula>
    </cfRule>
    <cfRule type="expression" dxfId="6" priority="7" stopIfTrue="1">
      <formula>AND(task_end&gt;=J$5,task_start&lt;K$5)</formula>
    </cfRule>
  </conditionalFormatting>
  <conditionalFormatting sqref="J16:BM21">
    <cfRule type="expression" dxfId="5" priority="4">
      <formula>AND(task_start&lt;=J$5,ROUNDDOWN((task_end-task_start+1)*task_progress,0)+task_start-1&gt;=J$5)</formula>
    </cfRule>
    <cfRule type="expression" dxfId="4" priority="5" stopIfTrue="1">
      <formula>AND(task_end&gt;=J$5,task_start&lt;K$5)</formula>
    </cfRule>
  </conditionalFormatting>
  <conditionalFormatting sqref="J23:BM28">
    <cfRule type="expression" dxfId="3" priority="2">
      <formula>AND(task_start&lt;=J$5,ROUNDDOWN((task_end-task_start+1)*task_progress,0)+task_start-1&gt;=J$5)</formula>
    </cfRule>
    <cfRule type="expression" dxfId="2" priority="3" stopIfTrue="1">
      <formula>AND(task_end&gt;=J$5,task_start&lt;K$5)</formula>
    </cfRule>
  </conditionalFormatting>
  <conditionalFormatting sqref="J30:BM35">
    <cfRule type="expression" dxfId="1" priority="36">
      <formula>AND(task_start&lt;=J$5,ROUNDDOWN((task_end-task_start+1)*task_progress,0)+task_start-1&gt;=J$5)</formula>
    </cfRule>
    <cfRule type="expression" dxfId="0" priority="37" stopIfTrue="1">
      <formula>AND(task_end&gt;=J$5,task_start&lt;K$5)</formula>
    </cfRule>
  </conditionalFormatting>
  <dataValidations count="13">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2" xr:uid="{956902D1-D3B5-416D-BB69-9362D193BC0A}"/>
    <dataValidation allowBlank="1" showInputMessage="1" showErrorMessage="1" prompt="Phase 4's sample block starts in cell B26." sqref="A29"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7"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40" fitToHeight="0" orientation="landscape" r:id="rId3"/>
  <headerFooter differentFirst="1" scaleWithDoc="0">
    <oddFooter>Page &amp;P of &amp;N</oddFooter>
  </headerFooter>
  <ignoredErrors>
    <ignoredError sqref="F34 E35"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cols>
    <col min="1" max="1" width="87" style="7" customWidth="1"/>
    <col min="2" max="16384" width="9" style="1"/>
  </cols>
  <sheetData>
    <row r="1" spans="1:2" ht="46.5" customHeight="1"/>
    <row r="2" spans="1:2" s="9" customFormat="1" ht="15.75">
      <c r="A2" s="98" t="s">
        <v>5</v>
      </c>
      <c r="B2" s="8"/>
    </row>
    <row r="3" spans="1:2" s="11" customFormat="1" ht="27" customHeight="1">
      <c r="A3" s="99"/>
      <c r="B3" s="12"/>
    </row>
    <row r="4" spans="1:2" s="10" customFormat="1" ht="31.5">
      <c r="A4" s="100" t="s">
        <v>47</v>
      </c>
    </row>
    <row r="5" spans="1:2" ht="74.25" customHeight="1">
      <c r="A5" s="101" t="s">
        <v>48</v>
      </c>
    </row>
    <row r="6" spans="1:2" ht="26.25" customHeight="1">
      <c r="A6" s="100" t="s">
        <v>49</v>
      </c>
    </row>
    <row r="7" spans="1:2" s="7" customFormat="1" ht="205.15" customHeight="1">
      <c r="A7" s="102" t="s">
        <v>50</v>
      </c>
    </row>
    <row r="8" spans="1:2" s="10" customFormat="1" ht="31.5">
      <c r="A8" s="100" t="s">
        <v>51</v>
      </c>
    </row>
    <row r="9" spans="1:2" ht="57">
      <c r="A9" s="101" t="s">
        <v>52</v>
      </c>
    </row>
    <row r="10" spans="1:2" s="7" customFormat="1" ht="28.15" customHeight="1">
      <c r="A10" s="103" t="s">
        <v>53</v>
      </c>
    </row>
    <row r="11" spans="1:2" s="10" customFormat="1" ht="31.5">
      <c r="A11" s="100" t="s">
        <v>54</v>
      </c>
    </row>
    <row r="12" spans="1:2" ht="28.5">
      <c r="A12" s="101" t="s">
        <v>55</v>
      </c>
    </row>
    <row r="13" spans="1:2" s="7" customFormat="1" ht="28.15" customHeight="1">
      <c r="A13" s="103" t="s">
        <v>56</v>
      </c>
    </row>
    <row r="14" spans="1:2" s="10" customFormat="1" ht="31.5">
      <c r="A14" s="100" t="s">
        <v>57</v>
      </c>
    </row>
    <row r="15" spans="1:2" ht="75" customHeight="1">
      <c r="A15" s="101" t="s">
        <v>58</v>
      </c>
    </row>
    <row r="16" spans="1:2" ht="71.25">
      <c r="A16" s="101" t="s">
        <v>59</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45C7FEA5FD64408A2E2CD1EC0570DE" ma:contentTypeVersion="10" ma:contentTypeDescription="Create a new document." ma:contentTypeScope="" ma:versionID="e3252bb707fd221cd62a6ec9eb5bd0d5">
  <xsd:schema xmlns:xsd="http://www.w3.org/2001/XMLSchema" xmlns:xs="http://www.w3.org/2001/XMLSchema" xmlns:p="http://schemas.microsoft.com/office/2006/metadata/properties" xmlns:ns2="8b534c47-982a-449c-833f-f8f545c6fdde" xmlns:ns3="f7c2c2c4-0bd8-4242-a51e-b8207d11645d" targetNamespace="http://schemas.microsoft.com/office/2006/metadata/properties" ma:root="true" ma:fieldsID="44494b95e9001932104469cd7696538a" ns2:_="" ns3:_="">
    <xsd:import namespace="8b534c47-982a-449c-833f-f8f545c6fdde"/>
    <xsd:import namespace="f7c2c2c4-0bd8-4242-a51e-b8207d1164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534c47-982a-449c-833f-f8f545c6fd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ed7cba-b263-44e1-aaea-116db9091a5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c2c2c4-0bd8-4242-a51e-b8207d1164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02b2b8c-1fe5-40d0-b63b-8d5a664a8458}" ma:internalName="TaxCatchAll" ma:showField="CatchAllData" ma:web="f7c2c2c4-0bd8-4242-a51e-b8207d1164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7c2c2c4-0bd8-4242-a51e-b8207d11645d" xsi:nil="true"/>
    <lcf76f155ced4ddcb4097134ff3c332f xmlns="8b534c47-982a-449c-833f-f8f545c6fdd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929873-3C37-4158-B398-82EBB63E8223}"/>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 Miller</dc:creator>
  <cp:keywords/>
  <dc:description/>
  <cp:lastModifiedBy>Pete Ozegovic</cp:lastModifiedBy>
  <cp:revision/>
  <dcterms:created xsi:type="dcterms:W3CDTF">2022-03-11T22:41:12Z</dcterms:created>
  <dcterms:modified xsi:type="dcterms:W3CDTF">2026-01-27T01:52:16Z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0x0101007245C7FEA5FD64408A2E2CD1EC0570DE</vt:lpwstr>
  </property>
  <property fmtid="{D5CDD505-2E9C-101B-9397-08002B2CF9AE}" pid="3" name="MediaServiceImageTags">
    <vt:lpwstr/>
  </property>
</Properties>
</file>